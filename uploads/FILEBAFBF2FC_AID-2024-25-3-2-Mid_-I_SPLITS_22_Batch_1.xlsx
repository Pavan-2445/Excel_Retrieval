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heckCompatibility="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5792C8FD-6C58-44B6-B846-30FDBA9DE0F8}" xr6:coauthVersionLast="47" xr6:coauthVersionMax="47" xr10:uidLastSave="{00000000-0000-0000-0000-000000000000}"/>
  <bookViews>
    <workbookView xWindow="-108" yWindow="-108" windowWidth="23256" windowHeight="13176" firstSheet="3" xr2:uid="{B1F954B6-3AC1-4897-B463-D42CF1311C52}"/>
  </bookViews>
  <sheets>
    <sheet name="EEM" sheetId="42" r:id="rId1"/>
    <sheet name="UML" sheetId="40" r:id="rId2"/>
    <sheet name="FSD" sheetId="43" r:id="rId3"/>
    <sheet name="DS" sheetId="39" r:id="rId4"/>
    <sheet name="AI" sheetId="3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6" i="43" l="1"/>
  <c r="AF17" i="43"/>
  <c r="AF18" i="43"/>
  <c r="AF19" i="43"/>
  <c r="AF20" i="43"/>
  <c r="AF21" i="43"/>
  <c r="AF22" i="43"/>
  <c r="AF23" i="43"/>
  <c r="AF24" i="43"/>
  <c r="AF25" i="43"/>
  <c r="AF26" i="43"/>
  <c r="AF27" i="43"/>
  <c r="AF28" i="43"/>
  <c r="AF29" i="43"/>
  <c r="AF30" i="43"/>
  <c r="AF31" i="43"/>
  <c r="AF32" i="43"/>
  <c r="AF33" i="43"/>
  <c r="AF34" i="43"/>
  <c r="AF35" i="43"/>
  <c r="AF36" i="43"/>
  <c r="AF37" i="43"/>
  <c r="AF38" i="43"/>
  <c r="AF39" i="43"/>
  <c r="AF40" i="43"/>
  <c r="AF41" i="43"/>
  <c r="AF42" i="43"/>
  <c r="AF43" i="43"/>
  <c r="AF44" i="43"/>
  <c r="AF45" i="43"/>
  <c r="AF46" i="43"/>
  <c r="AF47" i="43"/>
  <c r="AF48" i="43"/>
  <c r="AF49" i="43"/>
  <c r="AF50" i="43"/>
  <c r="AF51" i="43"/>
  <c r="AF52" i="43"/>
  <c r="AF53" i="43"/>
  <c r="AF54" i="43"/>
  <c r="AF55" i="43"/>
  <c r="AF56" i="43"/>
  <c r="AF57" i="43"/>
  <c r="AF58" i="43"/>
  <c r="AF59" i="43"/>
  <c r="AF60" i="43"/>
  <c r="AF61" i="43"/>
  <c r="AF62" i="43"/>
  <c r="AF63" i="43"/>
  <c r="AF64" i="43"/>
  <c r="AF65" i="43"/>
  <c r="AF66" i="43"/>
  <c r="AF67" i="43"/>
  <c r="AF68" i="43"/>
  <c r="AF69" i="43"/>
  <c r="AF70" i="43"/>
  <c r="AF71" i="43"/>
  <c r="AF72" i="43"/>
  <c r="AF73" i="43"/>
  <c r="AF74" i="43"/>
  <c r="AF75" i="43"/>
  <c r="AF76" i="43"/>
  <c r="AF77" i="43"/>
  <c r="AF78" i="43"/>
  <c r="AF79" i="43"/>
  <c r="AF80" i="43"/>
  <c r="AF81" i="43"/>
  <c r="AF82" i="43"/>
  <c r="AF83" i="43"/>
  <c r="AF84" i="43"/>
  <c r="AF85" i="43"/>
  <c r="AF86" i="43"/>
  <c r="AF87" i="43"/>
  <c r="AF88" i="43"/>
  <c r="AF89" i="43"/>
  <c r="AF90" i="43"/>
  <c r="AF91" i="43"/>
  <c r="AF92" i="43"/>
  <c r="AF93" i="43"/>
  <c r="AF94" i="43"/>
  <c r="AF95" i="43"/>
  <c r="AF96" i="43"/>
  <c r="AF97" i="43"/>
  <c r="AF98" i="43"/>
  <c r="AF99" i="43"/>
  <c r="AF100" i="43"/>
  <c r="AF101" i="43"/>
  <c r="AF102" i="43"/>
  <c r="AF103" i="43"/>
  <c r="AF104" i="43"/>
  <c r="AF105" i="43"/>
  <c r="AF106" i="43"/>
  <c r="AF107" i="43"/>
  <c r="AF108" i="43"/>
  <c r="AF109" i="43"/>
  <c r="AF110" i="43"/>
  <c r="AF111" i="43"/>
  <c r="AF112" i="43"/>
  <c r="AF113" i="43"/>
  <c r="AF114" i="43"/>
  <c r="AF115" i="43"/>
  <c r="AF116" i="43"/>
  <c r="AF117" i="43"/>
  <c r="AF118" i="43"/>
  <c r="AF119" i="43"/>
  <c r="AF120" i="43"/>
  <c r="AF121" i="43"/>
  <c r="AF122" i="43"/>
  <c r="AF123" i="43"/>
  <c r="AF124" i="43"/>
  <c r="AF125" i="43"/>
  <c r="AF126" i="43"/>
  <c r="AF127" i="43"/>
  <c r="AF128" i="43"/>
  <c r="AF129" i="43"/>
  <c r="AF130" i="43"/>
  <c r="AF131" i="43"/>
  <c r="AF132" i="43"/>
  <c r="AF133" i="43"/>
  <c r="AF134" i="43"/>
  <c r="AF135" i="43"/>
  <c r="AF136" i="43"/>
  <c r="AF137" i="43"/>
  <c r="AF138" i="43"/>
  <c r="AF139" i="43"/>
  <c r="AF140" i="43"/>
  <c r="AF141" i="43"/>
  <c r="AF142" i="43"/>
  <c r="AF143" i="43"/>
  <c r="AF144" i="43"/>
  <c r="AF145" i="43"/>
  <c r="AF146" i="43"/>
  <c r="AF147" i="43"/>
  <c r="AF148" i="43"/>
  <c r="AF149" i="43"/>
  <c r="AF150" i="43"/>
  <c r="AF151" i="43"/>
  <c r="AF152" i="43"/>
  <c r="AF153" i="43"/>
  <c r="AF154" i="43"/>
  <c r="AF155" i="43"/>
  <c r="AF156" i="43"/>
  <c r="AF157" i="43"/>
  <c r="AF158" i="43"/>
  <c r="AF159" i="43"/>
  <c r="AF160" i="43"/>
  <c r="AF161" i="43"/>
  <c r="AF162" i="43"/>
  <c r="AF163" i="43"/>
  <c r="AF164" i="43"/>
  <c r="AF165" i="43"/>
  <c r="AF166" i="43"/>
  <c r="AF167" i="43"/>
  <c r="AF168" i="43"/>
  <c r="AF169" i="43"/>
  <c r="AF170" i="43"/>
  <c r="AF171" i="43"/>
  <c r="AF172" i="43"/>
  <c r="AF173" i="43"/>
  <c r="AF174" i="43"/>
  <c r="AF175" i="43"/>
  <c r="AF176" i="43"/>
  <c r="AF177" i="43"/>
  <c r="AF178" i="43"/>
  <c r="AF179" i="43"/>
  <c r="AF180" i="43"/>
  <c r="AF181" i="43"/>
  <c r="AF182" i="43"/>
  <c r="AF183" i="43"/>
  <c r="AF184" i="43"/>
  <c r="AF185" i="43"/>
  <c r="AF186" i="43"/>
  <c r="AF187" i="43"/>
  <c r="AF188" i="43"/>
  <c r="AF189" i="43"/>
  <c r="AF190" i="43"/>
  <c r="AF191" i="43"/>
  <c r="AF192" i="43"/>
  <c r="AF193" i="43"/>
  <c r="AF194" i="43"/>
  <c r="AF195" i="43"/>
  <c r="AF15" i="43"/>
  <c r="X93" i="43"/>
  <c r="X94" i="43"/>
  <c r="X92" i="43"/>
  <c r="X91" i="43"/>
  <c r="AC16" i="43"/>
  <c r="AC17" i="43"/>
  <c r="AC18" i="43"/>
  <c r="AC19" i="43"/>
  <c r="AE19" i="43" s="1"/>
  <c r="AC20" i="43"/>
  <c r="AC21" i="43"/>
  <c r="AC22" i="43"/>
  <c r="AC23" i="43"/>
  <c r="AC24" i="43"/>
  <c r="AC25" i="43"/>
  <c r="AC26" i="43"/>
  <c r="AC27" i="43"/>
  <c r="AC28" i="43"/>
  <c r="AC29" i="43"/>
  <c r="AC30" i="43"/>
  <c r="AC31" i="43"/>
  <c r="AC32" i="43"/>
  <c r="AC33" i="43"/>
  <c r="AC34" i="43"/>
  <c r="AC35" i="43"/>
  <c r="AC36" i="43"/>
  <c r="AC37" i="43"/>
  <c r="AC38" i="43"/>
  <c r="AC39" i="43"/>
  <c r="AC40" i="43"/>
  <c r="AC41" i="43"/>
  <c r="AC42" i="43"/>
  <c r="AC43" i="43"/>
  <c r="AC44" i="43"/>
  <c r="AC45" i="43"/>
  <c r="AC46" i="43"/>
  <c r="AC47" i="43"/>
  <c r="AC48" i="43"/>
  <c r="AC49" i="43"/>
  <c r="AC50" i="43"/>
  <c r="AC51" i="43"/>
  <c r="AC52" i="43"/>
  <c r="AC53" i="43"/>
  <c r="AC54" i="43"/>
  <c r="AC55" i="43"/>
  <c r="AC56" i="43"/>
  <c r="AC57" i="43"/>
  <c r="AC58" i="43"/>
  <c r="AC59" i="43"/>
  <c r="AC60" i="43"/>
  <c r="AC61" i="43"/>
  <c r="AC62" i="43"/>
  <c r="AC63" i="43"/>
  <c r="AC64" i="43"/>
  <c r="AC65" i="43"/>
  <c r="AC66" i="43"/>
  <c r="AC67" i="43"/>
  <c r="AC68" i="43"/>
  <c r="AC69" i="43"/>
  <c r="AC70" i="43"/>
  <c r="AC71" i="43"/>
  <c r="AC72" i="43"/>
  <c r="AC73" i="43"/>
  <c r="AC74" i="43"/>
  <c r="AC75" i="43"/>
  <c r="AC76" i="43"/>
  <c r="AC77" i="43"/>
  <c r="AC78" i="43"/>
  <c r="AC79" i="43"/>
  <c r="AC80" i="43"/>
  <c r="AC81" i="43"/>
  <c r="AC82" i="43"/>
  <c r="AC83" i="43"/>
  <c r="AC84" i="43"/>
  <c r="AC85" i="43"/>
  <c r="AC86" i="43"/>
  <c r="AC87" i="43"/>
  <c r="AC88" i="43"/>
  <c r="AC89" i="43"/>
  <c r="AC90" i="43"/>
  <c r="AC91" i="43"/>
  <c r="AC92" i="43"/>
  <c r="AC93" i="43"/>
  <c r="AC94" i="43"/>
  <c r="AC95" i="43"/>
  <c r="AC96" i="43"/>
  <c r="AC97" i="43"/>
  <c r="AC98" i="43"/>
  <c r="AC99" i="43"/>
  <c r="AC100" i="43"/>
  <c r="AC101" i="43"/>
  <c r="AC102" i="43"/>
  <c r="AC103" i="43"/>
  <c r="AC104" i="43"/>
  <c r="AC105" i="43"/>
  <c r="AC106" i="43"/>
  <c r="AC107" i="43"/>
  <c r="AC108" i="43"/>
  <c r="AC109" i="43"/>
  <c r="AC110" i="43"/>
  <c r="AC111" i="43"/>
  <c r="AC112" i="43"/>
  <c r="AC113" i="43"/>
  <c r="AC114" i="43"/>
  <c r="AC115" i="43"/>
  <c r="AC116" i="43"/>
  <c r="AC117" i="43"/>
  <c r="AC118" i="43"/>
  <c r="AC119" i="43"/>
  <c r="AC120" i="43"/>
  <c r="AC121" i="43"/>
  <c r="AC122" i="43"/>
  <c r="AC123" i="43"/>
  <c r="AC124" i="43"/>
  <c r="AC125" i="43"/>
  <c r="AC126" i="43"/>
  <c r="AC127" i="43"/>
  <c r="AC128" i="43"/>
  <c r="AC129" i="43"/>
  <c r="AC130" i="43"/>
  <c r="AC131" i="43"/>
  <c r="AC132" i="43"/>
  <c r="AC133" i="43"/>
  <c r="AC134" i="43"/>
  <c r="AC135" i="43"/>
  <c r="AC136" i="43"/>
  <c r="AC137" i="43"/>
  <c r="AC138" i="43"/>
  <c r="AC139" i="43"/>
  <c r="AC140" i="43"/>
  <c r="AC141" i="43"/>
  <c r="AC142" i="43"/>
  <c r="AC143" i="43"/>
  <c r="AC144" i="43"/>
  <c r="AC145" i="43"/>
  <c r="AC146" i="43"/>
  <c r="AC147" i="43"/>
  <c r="AC148" i="43"/>
  <c r="AC149" i="43"/>
  <c r="AC150" i="43"/>
  <c r="AC151" i="43"/>
  <c r="AC152" i="43"/>
  <c r="AC153" i="43"/>
  <c r="AC154" i="43"/>
  <c r="AC155" i="43"/>
  <c r="AC156" i="43"/>
  <c r="AC157" i="43"/>
  <c r="AC158" i="43"/>
  <c r="AC159" i="43"/>
  <c r="AC160" i="43"/>
  <c r="AC161" i="43"/>
  <c r="AC162" i="43"/>
  <c r="AC163" i="43"/>
  <c r="AC164" i="43"/>
  <c r="AC165" i="43"/>
  <c r="AC166" i="43"/>
  <c r="AC167" i="43"/>
  <c r="AC168" i="43"/>
  <c r="AC169" i="43"/>
  <c r="AC170" i="43"/>
  <c r="AC171" i="43"/>
  <c r="AC172" i="43"/>
  <c r="AC173" i="43"/>
  <c r="AC174" i="43"/>
  <c r="AC175" i="43"/>
  <c r="AC176" i="43"/>
  <c r="AC177" i="43"/>
  <c r="AC178" i="43"/>
  <c r="AC179" i="43"/>
  <c r="AC180" i="43"/>
  <c r="AC181" i="43"/>
  <c r="AC182" i="43"/>
  <c r="AC183" i="43"/>
  <c r="AC184" i="43"/>
  <c r="AC185" i="43"/>
  <c r="AC186" i="43"/>
  <c r="AC187" i="43"/>
  <c r="AC188" i="43"/>
  <c r="AC189" i="43"/>
  <c r="AC190" i="43"/>
  <c r="AC191" i="43"/>
  <c r="AC192" i="43"/>
  <c r="AC193" i="43"/>
  <c r="AC194" i="43"/>
  <c r="AC195" i="43"/>
  <c r="AC15" i="43"/>
  <c r="X20" i="43"/>
  <c r="AE20" i="43" s="1"/>
  <c r="X16" i="43"/>
  <c r="AE16" i="43" s="1"/>
  <c r="X17" i="43"/>
  <c r="AE17" i="43" s="1"/>
  <c r="X18" i="43"/>
  <c r="AE18" i="43" s="1"/>
  <c r="X21" i="43"/>
  <c r="AE21" i="43" s="1"/>
  <c r="X22" i="43"/>
  <c r="AE22" i="43" s="1"/>
  <c r="X23" i="43"/>
  <c r="AE23" i="43" s="1"/>
  <c r="X24" i="43"/>
  <c r="AE24" i="43" s="1"/>
  <c r="X25" i="43"/>
  <c r="AE25" i="43" s="1"/>
  <c r="X26" i="43"/>
  <c r="AE26" i="43" s="1"/>
  <c r="X27" i="43"/>
  <c r="AE27" i="43" s="1"/>
  <c r="X28" i="43"/>
  <c r="AE28" i="43" s="1"/>
  <c r="X29" i="43"/>
  <c r="AE29" i="43" s="1"/>
  <c r="X30" i="43"/>
  <c r="AE30" i="43" s="1"/>
  <c r="X31" i="43"/>
  <c r="AE31" i="43" s="1"/>
  <c r="X32" i="43"/>
  <c r="AE32" i="43" s="1"/>
  <c r="X33" i="43"/>
  <c r="AE33" i="43" s="1"/>
  <c r="X34" i="43"/>
  <c r="AE34" i="43" s="1"/>
  <c r="X35" i="43"/>
  <c r="AE35" i="43" s="1"/>
  <c r="X36" i="43"/>
  <c r="AE36" i="43" s="1"/>
  <c r="X37" i="43"/>
  <c r="AE37" i="43" s="1"/>
  <c r="X38" i="43"/>
  <c r="AE38" i="43" s="1"/>
  <c r="X39" i="43"/>
  <c r="AE39" i="43" s="1"/>
  <c r="X40" i="43"/>
  <c r="AE40" i="43" s="1"/>
  <c r="X41" i="43"/>
  <c r="AE41" i="43" s="1"/>
  <c r="X42" i="43"/>
  <c r="AE42" i="43" s="1"/>
  <c r="X43" i="43"/>
  <c r="AE43" i="43" s="1"/>
  <c r="X44" i="43"/>
  <c r="AE44" i="43" s="1"/>
  <c r="X45" i="43"/>
  <c r="AE45" i="43" s="1"/>
  <c r="X46" i="43"/>
  <c r="AE46" i="43" s="1"/>
  <c r="X47" i="43"/>
  <c r="AE47" i="43" s="1"/>
  <c r="X48" i="43"/>
  <c r="AE48" i="43" s="1"/>
  <c r="X49" i="43"/>
  <c r="AE49" i="43" s="1"/>
  <c r="X50" i="43"/>
  <c r="AE50" i="43" s="1"/>
  <c r="X51" i="43"/>
  <c r="AE51" i="43" s="1"/>
  <c r="X52" i="43"/>
  <c r="AE52" i="43" s="1"/>
  <c r="X53" i="43"/>
  <c r="AE53" i="43" s="1"/>
  <c r="X54" i="43"/>
  <c r="AE54" i="43" s="1"/>
  <c r="X55" i="43"/>
  <c r="AE55" i="43" s="1"/>
  <c r="X56" i="43"/>
  <c r="AE56" i="43" s="1"/>
  <c r="X57" i="43"/>
  <c r="AE57" i="43" s="1"/>
  <c r="X58" i="43"/>
  <c r="AE58" i="43" s="1"/>
  <c r="X59" i="43"/>
  <c r="AE59" i="43" s="1"/>
  <c r="X60" i="43"/>
  <c r="AE60" i="43" s="1"/>
  <c r="X61" i="43"/>
  <c r="AE61" i="43" s="1"/>
  <c r="X62" i="43"/>
  <c r="AE62" i="43" s="1"/>
  <c r="X63" i="43"/>
  <c r="AE63" i="43" s="1"/>
  <c r="X64" i="43"/>
  <c r="AE64" i="43" s="1"/>
  <c r="X65" i="43"/>
  <c r="AE65" i="43" s="1"/>
  <c r="X66" i="43"/>
  <c r="AE66" i="43" s="1"/>
  <c r="X67" i="43"/>
  <c r="AE67" i="43" s="1"/>
  <c r="X68" i="43"/>
  <c r="AE68" i="43" s="1"/>
  <c r="X69" i="43"/>
  <c r="AE69" i="43" s="1"/>
  <c r="X70" i="43"/>
  <c r="AE70" i="43" s="1"/>
  <c r="X71" i="43"/>
  <c r="AE71" i="43" s="1"/>
  <c r="X72" i="43"/>
  <c r="AE72" i="43" s="1"/>
  <c r="X73" i="43"/>
  <c r="AE73" i="43" s="1"/>
  <c r="X74" i="43"/>
  <c r="AE74" i="43" s="1"/>
  <c r="X75" i="43"/>
  <c r="AE75" i="43" s="1"/>
  <c r="X76" i="43"/>
  <c r="AE76" i="43" s="1"/>
  <c r="X77" i="43"/>
  <c r="AE77" i="43" s="1"/>
  <c r="X78" i="43"/>
  <c r="AE78" i="43" s="1"/>
  <c r="X79" i="43"/>
  <c r="AE79" i="43" s="1"/>
  <c r="X80" i="43"/>
  <c r="AE80" i="43" s="1"/>
  <c r="X81" i="43"/>
  <c r="AE81" i="43" s="1"/>
  <c r="X82" i="43"/>
  <c r="AE82" i="43" s="1"/>
  <c r="X83" i="43"/>
  <c r="AE83" i="43" s="1"/>
  <c r="X84" i="43"/>
  <c r="AE84" i="43" s="1"/>
  <c r="X85" i="43"/>
  <c r="AE85" i="43" s="1"/>
  <c r="X86" i="43"/>
  <c r="AE86" i="43" s="1"/>
  <c r="X87" i="43"/>
  <c r="AE87" i="43" s="1"/>
  <c r="X88" i="43"/>
  <c r="AE88" i="43" s="1"/>
  <c r="X89" i="43"/>
  <c r="AE89" i="43" s="1"/>
  <c r="X90" i="43"/>
  <c r="AE90" i="43" s="1"/>
  <c r="X95" i="43"/>
  <c r="AE95" i="43" s="1"/>
  <c r="X96" i="43"/>
  <c r="AE96" i="43" s="1"/>
  <c r="X97" i="43"/>
  <c r="AE97" i="43" s="1"/>
  <c r="X98" i="43"/>
  <c r="AE98" i="43" s="1"/>
  <c r="X99" i="43"/>
  <c r="AE99" i="43" s="1"/>
  <c r="X100" i="43"/>
  <c r="AE100" i="43" s="1"/>
  <c r="X101" i="43"/>
  <c r="AE101" i="43" s="1"/>
  <c r="X102" i="43"/>
  <c r="AE102" i="43" s="1"/>
  <c r="X103" i="43"/>
  <c r="AE103" i="43" s="1"/>
  <c r="X104" i="43"/>
  <c r="AE104" i="43" s="1"/>
  <c r="X105" i="43"/>
  <c r="AE105" i="43" s="1"/>
  <c r="X106" i="43"/>
  <c r="AE106" i="43" s="1"/>
  <c r="X107" i="43"/>
  <c r="AE107" i="43" s="1"/>
  <c r="X108" i="43"/>
  <c r="AE108" i="43" s="1"/>
  <c r="X109" i="43"/>
  <c r="AE109" i="43" s="1"/>
  <c r="X110" i="43"/>
  <c r="AE110" i="43" s="1"/>
  <c r="X111" i="43"/>
  <c r="AE111" i="43" s="1"/>
  <c r="X112" i="43"/>
  <c r="AE112" i="43" s="1"/>
  <c r="X113" i="43"/>
  <c r="AE113" i="43" s="1"/>
  <c r="X114" i="43"/>
  <c r="AE114" i="43" s="1"/>
  <c r="X115" i="43"/>
  <c r="AE115" i="43" s="1"/>
  <c r="X116" i="43"/>
  <c r="AE116" i="43" s="1"/>
  <c r="X117" i="43"/>
  <c r="AE117" i="43" s="1"/>
  <c r="X118" i="43"/>
  <c r="AE118" i="43" s="1"/>
  <c r="X119" i="43"/>
  <c r="AE119" i="43" s="1"/>
  <c r="X120" i="43"/>
  <c r="AE120" i="43" s="1"/>
  <c r="X121" i="43"/>
  <c r="AE121" i="43" s="1"/>
  <c r="X122" i="43"/>
  <c r="AE122" i="43" s="1"/>
  <c r="X123" i="43"/>
  <c r="AE123" i="43" s="1"/>
  <c r="X124" i="43"/>
  <c r="AE124" i="43" s="1"/>
  <c r="X125" i="43"/>
  <c r="AE125" i="43" s="1"/>
  <c r="X126" i="43"/>
  <c r="AE126" i="43" s="1"/>
  <c r="X127" i="43"/>
  <c r="AE127" i="43" s="1"/>
  <c r="X128" i="43"/>
  <c r="AE128" i="43" s="1"/>
  <c r="X129" i="43"/>
  <c r="AE129" i="43" s="1"/>
  <c r="X130" i="43"/>
  <c r="AE130" i="43" s="1"/>
  <c r="X131" i="43"/>
  <c r="AE131" i="43" s="1"/>
  <c r="X132" i="43"/>
  <c r="AE132" i="43" s="1"/>
  <c r="X133" i="43"/>
  <c r="AE133" i="43" s="1"/>
  <c r="X134" i="43"/>
  <c r="AE134" i="43" s="1"/>
  <c r="X135" i="43"/>
  <c r="AE135" i="43" s="1"/>
  <c r="X136" i="43"/>
  <c r="AE136" i="43" s="1"/>
  <c r="X137" i="43"/>
  <c r="AE137" i="43" s="1"/>
  <c r="X138" i="43"/>
  <c r="AE138" i="43" s="1"/>
  <c r="X139" i="43"/>
  <c r="AE139" i="43" s="1"/>
  <c r="X140" i="43"/>
  <c r="AE140" i="43" s="1"/>
  <c r="X141" i="43"/>
  <c r="AE141" i="43" s="1"/>
  <c r="X142" i="43"/>
  <c r="AE142" i="43" s="1"/>
  <c r="X143" i="43"/>
  <c r="AE143" i="43" s="1"/>
  <c r="X144" i="43"/>
  <c r="AE144" i="43" s="1"/>
  <c r="X145" i="43"/>
  <c r="AE145" i="43" s="1"/>
  <c r="X146" i="43"/>
  <c r="AE146" i="43" s="1"/>
  <c r="X147" i="43"/>
  <c r="AE147" i="43" s="1"/>
  <c r="X148" i="43"/>
  <c r="AE148" i="43" s="1"/>
  <c r="X149" i="43"/>
  <c r="AE149" i="43" s="1"/>
  <c r="X150" i="43"/>
  <c r="AE150" i="43" s="1"/>
  <c r="X151" i="43"/>
  <c r="AE151" i="43" s="1"/>
  <c r="X152" i="43"/>
  <c r="AE152" i="43" s="1"/>
  <c r="X153" i="43"/>
  <c r="AE153" i="43" s="1"/>
  <c r="X154" i="43"/>
  <c r="AE154" i="43" s="1"/>
  <c r="X155" i="43"/>
  <c r="AE155" i="43" s="1"/>
  <c r="X156" i="43"/>
  <c r="AE156" i="43" s="1"/>
  <c r="X157" i="43"/>
  <c r="AE157" i="43" s="1"/>
  <c r="X158" i="43"/>
  <c r="AE158" i="43" s="1"/>
  <c r="X159" i="43"/>
  <c r="AE159" i="43" s="1"/>
  <c r="X160" i="43"/>
  <c r="AE160" i="43" s="1"/>
  <c r="X161" i="43"/>
  <c r="AE161" i="43" s="1"/>
  <c r="X162" i="43"/>
  <c r="AE162" i="43" s="1"/>
  <c r="X163" i="43"/>
  <c r="AE163" i="43" s="1"/>
  <c r="X164" i="43"/>
  <c r="AE164" i="43" s="1"/>
  <c r="X165" i="43"/>
  <c r="AE165" i="43" s="1"/>
  <c r="X166" i="43"/>
  <c r="AE166" i="43" s="1"/>
  <c r="X167" i="43"/>
  <c r="AE167" i="43" s="1"/>
  <c r="X168" i="43"/>
  <c r="AE168" i="43" s="1"/>
  <c r="X169" i="43"/>
  <c r="AE169" i="43" s="1"/>
  <c r="X170" i="43"/>
  <c r="AE170" i="43" s="1"/>
  <c r="X171" i="43"/>
  <c r="AE171" i="43" s="1"/>
  <c r="X172" i="43"/>
  <c r="AE172" i="43" s="1"/>
  <c r="X173" i="43"/>
  <c r="AE173" i="43" s="1"/>
  <c r="X174" i="43"/>
  <c r="AE174" i="43" s="1"/>
  <c r="X175" i="43"/>
  <c r="AE175" i="43" s="1"/>
  <c r="X176" i="43"/>
  <c r="AE176" i="43" s="1"/>
  <c r="X177" i="43"/>
  <c r="AE177" i="43" s="1"/>
  <c r="X178" i="43"/>
  <c r="AE178" i="43" s="1"/>
  <c r="X179" i="43"/>
  <c r="AE179" i="43" s="1"/>
  <c r="X180" i="43"/>
  <c r="AE180" i="43" s="1"/>
  <c r="X181" i="43"/>
  <c r="AE181" i="43" s="1"/>
  <c r="X182" i="43"/>
  <c r="AE182" i="43" s="1"/>
  <c r="X183" i="43"/>
  <c r="AE183" i="43" s="1"/>
  <c r="X184" i="43"/>
  <c r="AE184" i="43" s="1"/>
  <c r="X185" i="43"/>
  <c r="AE185" i="43" s="1"/>
  <c r="X186" i="43"/>
  <c r="AE186" i="43" s="1"/>
  <c r="X187" i="43"/>
  <c r="AE187" i="43" s="1"/>
  <c r="X188" i="43"/>
  <c r="AE188" i="43" s="1"/>
  <c r="X189" i="43"/>
  <c r="AE189" i="43" s="1"/>
  <c r="X190" i="43"/>
  <c r="AE190" i="43" s="1"/>
  <c r="X191" i="43"/>
  <c r="AE191" i="43" s="1"/>
  <c r="X192" i="43"/>
  <c r="AE192" i="43" s="1"/>
  <c r="X193" i="43"/>
  <c r="AE193" i="43" s="1"/>
  <c r="X194" i="43"/>
  <c r="AE194" i="43" s="1"/>
  <c r="X195" i="43"/>
  <c r="AE195" i="43" s="1"/>
  <c r="X15" i="43"/>
  <c r="AE15" i="43" s="1"/>
  <c r="O72" i="43"/>
  <c r="J72" i="43"/>
  <c r="O71" i="43"/>
  <c r="J71" i="43"/>
  <c r="O70" i="43"/>
  <c r="J70" i="43"/>
  <c r="O69" i="43"/>
  <c r="J69" i="43"/>
  <c r="O68" i="43"/>
  <c r="J68" i="43"/>
  <c r="O67" i="43"/>
  <c r="J67" i="43"/>
  <c r="O66" i="43"/>
  <c r="J66" i="43"/>
  <c r="O65" i="43"/>
  <c r="J65" i="43"/>
  <c r="O64" i="43"/>
  <c r="J64" i="43"/>
  <c r="O63" i="43"/>
  <c r="J63" i="43"/>
  <c r="O62" i="43"/>
  <c r="J62" i="43"/>
  <c r="O61" i="43"/>
  <c r="J61" i="43"/>
  <c r="O60" i="43"/>
  <c r="J60" i="43"/>
  <c r="O59" i="43"/>
  <c r="J59" i="43"/>
  <c r="O58" i="43"/>
  <c r="J58" i="43"/>
  <c r="O57" i="43"/>
  <c r="J57" i="43"/>
  <c r="O56" i="43"/>
  <c r="J56" i="43"/>
  <c r="O55" i="43"/>
  <c r="J55" i="43"/>
  <c r="O54" i="43"/>
  <c r="J54" i="43"/>
  <c r="O53" i="43"/>
  <c r="J53" i="43"/>
  <c r="O52" i="43"/>
  <c r="J52" i="43"/>
  <c r="O51" i="43"/>
  <c r="J51" i="43"/>
  <c r="O50" i="43"/>
  <c r="J50" i="43"/>
  <c r="O49" i="43"/>
  <c r="J49" i="43"/>
  <c r="O48" i="43"/>
  <c r="J48" i="43"/>
  <c r="O47" i="43"/>
  <c r="J47" i="43"/>
  <c r="O46" i="43"/>
  <c r="J46" i="43"/>
  <c r="O45" i="43"/>
  <c r="J45" i="43"/>
  <c r="O44" i="43"/>
  <c r="J44" i="43"/>
  <c r="O43" i="43"/>
  <c r="J43" i="43"/>
  <c r="O42" i="43"/>
  <c r="J42" i="43"/>
  <c r="O41" i="43"/>
  <c r="J41" i="43"/>
  <c r="O40" i="43"/>
  <c r="J40" i="43"/>
  <c r="O39" i="43"/>
  <c r="J39" i="43"/>
  <c r="O38" i="43"/>
  <c r="J38" i="43"/>
  <c r="O37" i="43"/>
  <c r="J37" i="43"/>
  <c r="O36" i="43"/>
  <c r="J36" i="43"/>
  <c r="O35" i="43"/>
  <c r="J35" i="43"/>
  <c r="O34" i="43"/>
  <c r="J34" i="43"/>
  <c r="O33" i="43"/>
  <c r="J33" i="43"/>
  <c r="O32" i="43"/>
  <c r="J32" i="43"/>
  <c r="O31" i="43"/>
  <c r="J31" i="43"/>
  <c r="O30" i="43"/>
  <c r="J30" i="43"/>
  <c r="O29" i="43"/>
  <c r="J29" i="43"/>
  <c r="O28" i="43"/>
  <c r="J28" i="43"/>
  <c r="O27" i="43"/>
  <c r="J27" i="43"/>
  <c r="O26" i="43"/>
  <c r="J26" i="43"/>
  <c r="O25" i="43"/>
  <c r="J25" i="43"/>
  <c r="O24" i="43"/>
  <c r="J24" i="43"/>
  <c r="O23" i="43"/>
  <c r="J23" i="43"/>
  <c r="O22" i="43"/>
  <c r="J22" i="43"/>
  <c r="O21" i="43"/>
  <c r="J21" i="43"/>
  <c r="O20" i="43"/>
  <c r="J20" i="43"/>
  <c r="O19" i="43"/>
  <c r="J19" i="43"/>
  <c r="O18" i="43"/>
  <c r="J18" i="43"/>
  <c r="O17" i="43"/>
  <c r="J17" i="43"/>
  <c r="O16" i="43"/>
  <c r="J16" i="43"/>
  <c r="O15" i="43"/>
  <c r="J15" i="43"/>
  <c r="Q28" i="42"/>
  <c r="Q16" i="42"/>
  <c r="Q17" i="42"/>
  <c r="Q18" i="42"/>
  <c r="Q19" i="42"/>
  <c r="Q20" i="42"/>
  <c r="Q21" i="42"/>
  <c r="Q22" i="42"/>
  <c r="Q23" i="42"/>
  <c r="Q24" i="42"/>
  <c r="Q25" i="42"/>
  <c r="Q26" i="42"/>
  <c r="Q27" i="42"/>
  <c r="Q29" i="42"/>
  <c r="Q30" i="42"/>
  <c r="Q31" i="42"/>
  <c r="Q32" i="42"/>
  <c r="Q33" i="42"/>
  <c r="Q34" i="42"/>
  <c r="Q35" i="42"/>
  <c r="Q36" i="42"/>
  <c r="Q37" i="42"/>
  <c r="Q38" i="42"/>
  <c r="Q39" i="42"/>
  <c r="Q40" i="42"/>
  <c r="Q41" i="42"/>
  <c r="Q42" i="42"/>
  <c r="Q43" i="42"/>
  <c r="Q44" i="42"/>
  <c r="Q45" i="42"/>
  <c r="Q46" i="42"/>
  <c r="Q47" i="42"/>
  <c r="Q48" i="42"/>
  <c r="Q49" i="42"/>
  <c r="Q50" i="42"/>
  <c r="Q51" i="42"/>
  <c r="Q52" i="42"/>
  <c r="Q53" i="42"/>
  <c r="Q54" i="42"/>
  <c r="Q55" i="42"/>
  <c r="Q56" i="42"/>
  <c r="Q57" i="42"/>
  <c r="Q58" i="42"/>
  <c r="Q59" i="42"/>
  <c r="Q60" i="42"/>
  <c r="Q61" i="42"/>
  <c r="Q62" i="42"/>
  <c r="Q63" i="42"/>
  <c r="Q64" i="42"/>
  <c r="Q65" i="42"/>
  <c r="Q66" i="42"/>
  <c r="Q67" i="42"/>
  <c r="Q68" i="42"/>
  <c r="Q69" i="42"/>
  <c r="Q70" i="42"/>
  <c r="Q71" i="42"/>
  <c r="Q72" i="42"/>
  <c r="Q73" i="42"/>
  <c r="Q74" i="42"/>
  <c r="Q75" i="42"/>
  <c r="Q76" i="42"/>
  <c r="Q77" i="42"/>
  <c r="Q78" i="42"/>
  <c r="Q79" i="42"/>
  <c r="Q80" i="42"/>
  <c r="Q81" i="42"/>
  <c r="Q82" i="42"/>
  <c r="Q83" i="42"/>
  <c r="Q84" i="42"/>
  <c r="Q85" i="42"/>
  <c r="Q86" i="42"/>
  <c r="Q87" i="42"/>
  <c r="Q88" i="42"/>
  <c r="Q89" i="42"/>
  <c r="Q90" i="42"/>
  <c r="Q91" i="42"/>
  <c r="Q92" i="42"/>
  <c r="Q93" i="42"/>
  <c r="Q94" i="42"/>
  <c r="Q95" i="42"/>
  <c r="Q96" i="42"/>
  <c r="Q97" i="42"/>
  <c r="Q98" i="42"/>
  <c r="Q99" i="42"/>
  <c r="Q100" i="42"/>
  <c r="Q101" i="42"/>
  <c r="Q102" i="42"/>
  <c r="Q103" i="42"/>
  <c r="Q104" i="42"/>
  <c r="Q105" i="42"/>
  <c r="Q106" i="42"/>
  <c r="Q107" i="42"/>
  <c r="Q108" i="42"/>
  <c r="Q109" i="42"/>
  <c r="Q110" i="42"/>
  <c r="Q111" i="42"/>
  <c r="Q112" i="42"/>
  <c r="Q113" i="42"/>
  <c r="Q114" i="42"/>
  <c r="Q115" i="42"/>
  <c r="Q116" i="42"/>
  <c r="Q117" i="42"/>
  <c r="Q118" i="42"/>
  <c r="Q119" i="42"/>
  <c r="Q120" i="42"/>
  <c r="Q121" i="42"/>
  <c r="Q122" i="42"/>
  <c r="Q123" i="42"/>
  <c r="Q124" i="42"/>
  <c r="Q125" i="42"/>
  <c r="Q126" i="42"/>
  <c r="Q127" i="42"/>
  <c r="Q128" i="42"/>
  <c r="Q129" i="42"/>
  <c r="Q130" i="42"/>
  <c r="Q131" i="42"/>
  <c r="Q132" i="42"/>
  <c r="Q133" i="42"/>
  <c r="Q134" i="42"/>
  <c r="Q135" i="42"/>
  <c r="Q136" i="42"/>
  <c r="Q137" i="42"/>
  <c r="Q138" i="42"/>
  <c r="Q139" i="42"/>
  <c r="Q140" i="42"/>
  <c r="Q141" i="42"/>
  <c r="Q142" i="42"/>
  <c r="Q143" i="42"/>
  <c r="Q144" i="42"/>
  <c r="Q145" i="42"/>
  <c r="Q146" i="42"/>
  <c r="Q147" i="42"/>
  <c r="Q148" i="42"/>
  <c r="Q149" i="42"/>
  <c r="Q150" i="42"/>
  <c r="Q151" i="42"/>
  <c r="Q152" i="42"/>
  <c r="Q153" i="42"/>
  <c r="Q154" i="42"/>
  <c r="Q155" i="42"/>
  <c r="Q156" i="42"/>
  <c r="Q157" i="42"/>
  <c r="Q158" i="42"/>
  <c r="Q159" i="42"/>
  <c r="Q160" i="42"/>
  <c r="Q161" i="42"/>
  <c r="Q162" i="42"/>
  <c r="Q163" i="42"/>
  <c r="Q164" i="42"/>
  <c r="Q165" i="42"/>
  <c r="Q166" i="42"/>
  <c r="Q167" i="42"/>
  <c r="Q168" i="42"/>
  <c r="Q169" i="42"/>
  <c r="Q170" i="42"/>
  <c r="Q171" i="42"/>
  <c r="Q172" i="42"/>
  <c r="Q173" i="42"/>
  <c r="Q174" i="42"/>
  <c r="Q175" i="42"/>
  <c r="Q176" i="42"/>
  <c r="Q177" i="42"/>
  <c r="Q178" i="42"/>
  <c r="Q179" i="42"/>
  <c r="Q180" i="42"/>
  <c r="Q181" i="42"/>
  <c r="Q182" i="42"/>
  <c r="Q183" i="42"/>
  <c r="Q184" i="42"/>
  <c r="Q185" i="42"/>
  <c r="Q186" i="42"/>
  <c r="Q187" i="42"/>
  <c r="Q188" i="42"/>
  <c r="Q189" i="42"/>
  <c r="Q190" i="42"/>
  <c r="Q191" i="42"/>
  <c r="Q192" i="42"/>
  <c r="Q193" i="42"/>
  <c r="Q194" i="42"/>
  <c r="Q195" i="42"/>
  <c r="Q15" i="42"/>
  <c r="J16" i="42"/>
  <c r="S16" i="42" s="1"/>
  <c r="J17" i="42"/>
  <c r="S17" i="42" s="1"/>
  <c r="J18" i="42"/>
  <c r="S18" i="42" s="1"/>
  <c r="J19" i="42"/>
  <c r="S19" i="42" s="1"/>
  <c r="J20" i="42"/>
  <c r="S20" i="42" s="1"/>
  <c r="J21" i="42"/>
  <c r="S21" i="42" s="1"/>
  <c r="J22" i="42"/>
  <c r="S22" i="42" s="1"/>
  <c r="J23" i="42"/>
  <c r="S23" i="42" s="1"/>
  <c r="J24" i="42"/>
  <c r="S24" i="42" s="1"/>
  <c r="J25" i="42"/>
  <c r="S25" i="42" s="1"/>
  <c r="J26" i="42"/>
  <c r="S26" i="42" s="1"/>
  <c r="J27" i="42"/>
  <c r="S27" i="42" s="1"/>
  <c r="J28" i="42"/>
  <c r="S28" i="42" s="1"/>
  <c r="J29" i="42"/>
  <c r="S29" i="42" s="1"/>
  <c r="J30" i="42"/>
  <c r="S30" i="42" s="1"/>
  <c r="J31" i="42"/>
  <c r="S31" i="42" s="1"/>
  <c r="J32" i="42"/>
  <c r="S32" i="42" s="1"/>
  <c r="J33" i="42"/>
  <c r="S33" i="42" s="1"/>
  <c r="J34" i="42"/>
  <c r="S34" i="42" s="1"/>
  <c r="J35" i="42"/>
  <c r="S35" i="42" s="1"/>
  <c r="J36" i="42"/>
  <c r="S36" i="42" s="1"/>
  <c r="J37" i="42"/>
  <c r="S37" i="42" s="1"/>
  <c r="J38" i="42"/>
  <c r="S38" i="42" s="1"/>
  <c r="J39" i="42"/>
  <c r="S39" i="42" s="1"/>
  <c r="J40" i="42"/>
  <c r="S40" i="42" s="1"/>
  <c r="J41" i="42"/>
  <c r="S41" i="42" s="1"/>
  <c r="J42" i="42"/>
  <c r="S42" i="42" s="1"/>
  <c r="J43" i="42"/>
  <c r="S43" i="42" s="1"/>
  <c r="J44" i="42"/>
  <c r="S44" i="42" s="1"/>
  <c r="J45" i="42"/>
  <c r="S45" i="42" s="1"/>
  <c r="J46" i="42"/>
  <c r="S46" i="42" s="1"/>
  <c r="J47" i="42"/>
  <c r="S47" i="42" s="1"/>
  <c r="J48" i="42"/>
  <c r="S48" i="42" s="1"/>
  <c r="J49" i="42"/>
  <c r="S49" i="42" s="1"/>
  <c r="J50" i="42"/>
  <c r="S50" i="42" s="1"/>
  <c r="J51" i="42"/>
  <c r="S51" i="42" s="1"/>
  <c r="J52" i="42"/>
  <c r="S52" i="42" s="1"/>
  <c r="J53" i="42"/>
  <c r="S53" i="42" s="1"/>
  <c r="J54" i="42"/>
  <c r="S54" i="42" s="1"/>
  <c r="J55" i="42"/>
  <c r="S55" i="42" s="1"/>
  <c r="J56" i="42"/>
  <c r="S56" i="42" s="1"/>
  <c r="J57" i="42"/>
  <c r="S57" i="42" s="1"/>
  <c r="J58" i="42"/>
  <c r="S58" i="42" s="1"/>
  <c r="J59" i="42"/>
  <c r="S59" i="42" s="1"/>
  <c r="J60" i="42"/>
  <c r="S60" i="42" s="1"/>
  <c r="J61" i="42"/>
  <c r="S61" i="42" s="1"/>
  <c r="J62" i="42"/>
  <c r="S62" i="42" s="1"/>
  <c r="J63" i="42"/>
  <c r="S63" i="42" s="1"/>
  <c r="J64" i="42"/>
  <c r="S64" i="42" s="1"/>
  <c r="J65" i="42"/>
  <c r="S65" i="42" s="1"/>
  <c r="J66" i="42"/>
  <c r="S66" i="42" s="1"/>
  <c r="J67" i="42"/>
  <c r="S67" i="42" s="1"/>
  <c r="J68" i="42"/>
  <c r="S68" i="42" s="1"/>
  <c r="J69" i="42"/>
  <c r="S69" i="42" s="1"/>
  <c r="J70" i="42"/>
  <c r="S70" i="42" s="1"/>
  <c r="J71" i="42"/>
  <c r="S71" i="42" s="1"/>
  <c r="J72" i="42"/>
  <c r="S72" i="42" s="1"/>
  <c r="J73" i="42"/>
  <c r="S73" i="42" s="1"/>
  <c r="J74" i="42"/>
  <c r="S74" i="42" s="1"/>
  <c r="J75" i="42"/>
  <c r="S75" i="42" s="1"/>
  <c r="J76" i="42"/>
  <c r="S76" i="42" s="1"/>
  <c r="J77" i="42"/>
  <c r="S77" i="42" s="1"/>
  <c r="J78" i="42"/>
  <c r="S78" i="42" s="1"/>
  <c r="J79" i="42"/>
  <c r="S79" i="42" s="1"/>
  <c r="J80" i="42"/>
  <c r="S80" i="42" s="1"/>
  <c r="J81" i="42"/>
  <c r="S81" i="42" s="1"/>
  <c r="J82" i="42"/>
  <c r="S82" i="42" s="1"/>
  <c r="J83" i="42"/>
  <c r="S83" i="42" s="1"/>
  <c r="J84" i="42"/>
  <c r="S84" i="42" s="1"/>
  <c r="J85" i="42"/>
  <c r="S85" i="42" s="1"/>
  <c r="J86" i="42"/>
  <c r="S86" i="42" s="1"/>
  <c r="J87" i="42"/>
  <c r="S87" i="42" s="1"/>
  <c r="J88" i="42"/>
  <c r="S88" i="42" s="1"/>
  <c r="J89" i="42"/>
  <c r="S89" i="42" s="1"/>
  <c r="J90" i="42"/>
  <c r="S90" i="42" s="1"/>
  <c r="J91" i="42"/>
  <c r="S91" i="42" s="1"/>
  <c r="J92" i="42"/>
  <c r="S92" i="42" s="1"/>
  <c r="J93" i="42"/>
  <c r="S93" i="42" s="1"/>
  <c r="J94" i="42"/>
  <c r="S94" i="42" s="1"/>
  <c r="J95" i="42"/>
  <c r="S95" i="42" s="1"/>
  <c r="J96" i="42"/>
  <c r="S96" i="42" s="1"/>
  <c r="J97" i="42"/>
  <c r="S97" i="42" s="1"/>
  <c r="J98" i="42"/>
  <c r="S98" i="42" s="1"/>
  <c r="J99" i="42"/>
  <c r="S99" i="42" s="1"/>
  <c r="J100" i="42"/>
  <c r="S100" i="42" s="1"/>
  <c r="J101" i="42"/>
  <c r="S101" i="42" s="1"/>
  <c r="J102" i="42"/>
  <c r="S102" i="42" s="1"/>
  <c r="J103" i="42"/>
  <c r="S103" i="42" s="1"/>
  <c r="J104" i="42"/>
  <c r="S104" i="42" s="1"/>
  <c r="J105" i="42"/>
  <c r="S105" i="42" s="1"/>
  <c r="J106" i="42"/>
  <c r="S106" i="42" s="1"/>
  <c r="J107" i="42"/>
  <c r="S107" i="42" s="1"/>
  <c r="J108" i="42"/>
  <c r="S108" i="42" s="1"/>
  <c r="J109" i="42"/>
  <c r="S109" i="42" s="1"/>
  <c r="J110" i="42"/>
  <c r="S110" i="42" s="1"/>
  <c r="J111" i="42"/>
  <c r="S111" i="42" s="1"/>
  <c r="J112" i="42"/>
  <c r="S112" i="42" s="1"/>
  <c r="J113" i="42"/>
  <c r="S113" i="42" s="1"/>
  <c r="J114" i="42"/>
  <c r="S114" i="42" s="1"/>
  <c r="J115" i="42"/>
  <c r="S115" i="42" s="1"/>
  <c r="J116" i="42"/>
  <c r="S116" i="42" s="1"/>
  <c r="J117" i="42"/>
  <c r="S117" i="42" s="1"/>
  <c r="J118" i="42"/>
  <c r="S118" i="42" s="1"/>
  <c r="J119" i="42"/>
  <c r="S119" i="42" s="1"/>
  <c r="J120" i="42"/>
  <c r="S120" i="42" s="1"/>
  <c r="J121" i="42"/>
  <c r="S121" i="42" s="1"/>
  <c r="J122" i="42"/>
  <c r="S122" i="42" s="1"/>
  <c r="J123" i="42"/>
  <c r="S123" i="42" s="1"/>
  <c r="J124" i="42"/>
  <c r="S124" i="42" s="1"/>
  <c r="J125" i="42"/>
  <c r="S125" i="42" s="1"/>
  <c r="J126" i="42"/>
  <c r="S126" i="42" s="1"/>
  <c r="J127" i="42"/>
  <c r="S127" i="42" s="1"/>
  <c r="J128" i="42"/>
  <c r="S128" i="42" s="1"/>
  <c r="J129" i="42"/>
  <c r="S129" i="42" s="1"/>
  <c r="J130" i="42"/>
  <c r="S130" i="42" s="1"/>
  <c r="J131" i="42"/>
  <c r="S131" i="42" s="1"/>
  <c r="J132" i="42"/>
  <c r="S132" i="42" s="1"/>
  <c r="J133" i="42"/>
  <c r="S133" i="42" s="1"/>
  <c r="J134" i="42"/>
  <c r="S134" i="42" s="1"/>
  <c r="J135" i="42"/>
  <c r="S135" i="42" s="1"/>
  <c r="J136" i="42"/>
  <c r="S136" i="42" s="1"/>
  <c r="J137" i="42"/>
  <c r="S137" i="42" s="1"/>
  <c r="J138" i="42"/>
  <c r="S138" i="42" s="1"/>
  <c r="J139" i="42"/>
  <c r="S139" i="42" s="1"/>
  <c r="J140" i="42"/>
  <c r="S140" i="42" s="1"/>
  <c r="J141" i="42"/>
  <c r="S141" i="42" s="1"/>
  <c r="J142" i="42"/>
  <c r="S142" i="42" s="1"/>
  <c r="J143" i="42"/>
  <c r="S143" i="42" s="1"/>
  <c r="J144" i="42"/>
  <c r="S144" i="42" s="1"/>
  <c r="J145" i="42"/>
  <c r="S145" i="42" s="1"/>
  <c r="J146" i="42"/>
  <c r="S146" i="42" s="1"/>
  <c r="J147" i="42"/>
  <c r="S147" i="42" s="1"/>
  <c r="J148" i="42"/>
  <c r="S148" i="42" s="1"/>
  <c r="J149" i="42"/>
  <c r="S149" i="42" s="1"/>
  <c r="J150" i="42"/>
  <c r="S150" i="42" s="1"/>
  <c r="J151" i="42"/>
  <c r="S151" i="42" s="1"/>
  <c r="J152" i="42"/>
  <c r="S152" i="42" s="1"/>
  <c r="J153" i="42"/>
  <c r="S153" i="42" s="1"/>
  <c r="J154" i="42"/>
  <c r="S154" i="42" s="1"/>
  <c r="J155" i="42"/>
  <c r="S155" i="42" s="1"/>
  <c r="J156" i="42"/>
  <c r="S156" i="42" s="1"/>
  <c r="J157" i="42"/>
  <c r="S157" i="42" s="1"/>
  <c r="J158" i="42"/>
  <c r="S158" i="42" s="1"/>
  <c r="J159" i="42"/>
  <c r="S159" i="42" s="1"/>
  <c r="J160" i="42"/>
  <c r="S160" i="42" s="1"/>
  <c r="J161" i="42"/>
  <c r="S161" i="42" s="1"/>
  <c r="J162" i="42"/>
  <c r="S162" i="42" s="1"/>
  <c r="J163" i="42"/>
  <c r="S163" i="42" s="1"/>
  <c r="J164" i="42"/>
  <c r="S164" i="42" s="1"/>
  <c r="J165" i="42"/>
  <c r="S165" i="42" s="1"/>
  <c r="J166" i="42"/>
  <c r="S166" i="42" s="1"/>
  <c r="J167" i="42"/>
  <c r="S167" i="42" s="1"/>
  <c r="J168" i="42"/>
  <c r="S168" i="42" s="1"/>
  <c r="J169" i="42"/>
  <c r="S169" i="42" s="1"/>
  <c r="J170" i="42"/>
  <c r="S170" i="42" s="1"/>
  <c r="J171" i="42"/>
  <c r="S171" i="42" s="1"/>
  <c r="J172" i="42"/>
  <c r="S172" i="42" s="1"/>
  <c r="J173" i="42"/>
  <c r="S173" i="42" s="1"/>
  <c r="J174" i="42"/>
  <c r="S174" i="42" s="1"/>
  <c r="J175" i="42"/>
  <c r="S175" i="42" s="1"/>
  <c r="J176" i="42"/>
  <c r="S176" i="42" s="1"/>
  <c r="J177" i="42"/>
  <c r="S177" i="42" s="1"/>
  <c r="J178" i="42"/>
  <c r="S178" i="42" s="1"/>
  <c r="J179" i="42"/>
  <c r="S179" i="42" s="1"/>
  <c r="J180" i="42"/>
  <c r="S180" i="42" s="1"/>
  <c r="J181" i="42"/>
  <c r="S181" i="42" s="1"/>
  <c r="J182" i="42"/>
  <c r="S182" i="42" s="1"/>
  <c r="J183" i="42"/>
  <c r="S183" i="42" s="1"/>
  <c r="J184" i="42"/>
  <c r="S184" i="42" s="1"/>
  <c r="J185" i="42"/>
  <c r="S185" i="42" s="1"/>
  <c r="J186" i="42"/>
  <c r="S186" i="42" s="1"/>
  <c r="J187" i="42"/>
  <c r="S187" i="42" s="1"/>
  <c r="J188" i="42"/>
  <c r="S188" i="42" s="1"/>
  <c r="J189" i="42"/>
  <c r="S189" i="42" s="1"/>
  <c r="J190" i="42"/>
  <c r="S190" i="42" s="1"/>
  <c r="J191" i="42"/>
  <c r="S191" i="42" s="1"/>
  <c r="J192" i="42"/>
  <c r="S192" i="42" s="1"/>
  <c r="J193" i="42"/>
  <c r="S193" i="42" s="1"/>
  <c r="J194" i="42"/>
  <c r="S194" i="42" s="1"/>
  <c r="J195" i="42"/>
  <c r="S195" i="42" s="1"/>
  <c r="J15" i="42"/>
  <c r="S15" i="42" s="1"/>
  <c r="AE16" i="40"/>
  <c r="AE17" i="40"/>
  <c r="AE18" i="40"/>
  <c r="AE19" i="40"/>
  <c r="AE20" i="40"/>
  <c r="AE21" i="40"/>
  <c r="AE22" i="40"/>
  <c r="AE23" i="40"/>
  <c r="AE24" i="40"/>
  <c r="AE25" i="40"/>
  <c r="AE26" i="40"/>
  <c r="AE27" i="40"/>
  <c r="AE28" i="40"/>
  <c r="AE29" i="40"/>
  <c r="AE30" i="40"/>
  <c r="AE31" i="40"/>
  <c r="AE32" i="40"/>
  <c r="AE33" i="40"/>
  <c r="AE34" i="40"/>
  <c r="AE35" i="40"/>
  <c r="AE36" i="40"/>
  <c r="AE37" i="40"/>
  <c r="AE38" i="40"/>
  <c r="AE39" i="40"/>
  <c r="AE40" i="40"/>
  <c r="AE41" i="40"/>
  <c r="AE42" i="40"/>
  <c r="AE43" i="40"/>
  <c r="AE44" i="40"/>
  <c r="AE45" i="40"/>
  <c r="AE46" i="40"/>
  <c r="AE47" i="40"/>
  <c r="AE48" i="40"/>
  <c r="AE49" i="40"/>
  <c r="AE50" i="40"/>
  <c r="AE51" i="40"/>
  <c r="AE52" i="40"/>
  <c r="AE53" i="40"/>
  <c r="AE54" i="40"/>
  <c r="AE55" i="40"/>
  <c r="AE56" i="40"/>
  <c r="AE57" i="40"/>
  <c r="AE58" i="40"/>
  <c r="AE59" i="40"/>
  <c r="AE60" i="40"/>
  <c r="AE61" i="40"/>
  <c r="AE62" i="40"/>
  <c r="AE63" i="40"/>
  <c r="AE64" i="40"/>
  <c r="AE65" i="40"/>
  <c r="AE66" i="40"/>
  <c r="AE67" i="40"/>
  <c r="AE68" i="40"/>
  <c r="AE69" i="40"/>
  <c r="AE70" i="40"/>
  <c r="AE71" i="40"/>
  <c r="AE72" i="40"/>
  <c r="AE134" i="40"/>
  <c r="AE135" i="40"/>
  <c r="AE136" i="40"/>
  <c r="AE137" i="40"/>
  <c r="AE138" i="40"/>
  <c r="AE139" i="40"/>
  <c r="AE140" i="40"/>
  <c r="AE141" i="40"/>
  <c r="AE142" i="40"/>
  <c r="AE143" i="40"/>
  <c r="AE144" i="40"/>
  <c r="AE145" i="40"/>
  <c r="AE146" i="40"/>
  <c r="AE147" i="40"/>
  <c r="AE148" i="40"/>
  <c r="AE149" i="40"/>
  <c r="AE150" i="40"/>
  <c r="AE151" i="40"/>
  <c r="AE152" i="40"/>
  <c r="AE153" i="40"/>
  <c r="AE154" i="40"/>
  <c r="AE155" i="40"/>
  <c r="AE156" i="40"/>
  <c r="AE157" i="40"/>
  <c r="AE158" i="40"/>
  <c r="AE159" i="40"/>
  <c r="AE160" i="40"/>
  <c r="AE161" i="40"/>
  <c r="AE162" i="40"/>
  <c r="AE163" i="40"/>
  <c r="AE164" i="40"/>
  <c r="AE165" i="40"/>
  <c r="AE166" i="40"/>
  <c r="AE167" i="40"/>
  <c r="AE168" i="40"/>
  <c r="AE169" i="40"/>
  <c r="AE170" i="40"/>
  <c r="AE171" i="40"/>
  <c r="AE172" i="40"/>
  <c r="AE173" i="40"/>
  <c r="AE174" i="40"/>
  <c r="AE175" i="40"/>
  <c r="AE176" i="40"/>
  <c r="AE177" i="40"/>
  <c r="AE178" i="40"/>
  <c r="AE179" i="40"/>
  <c r="AE180" i="40"/>
  <c r="AE181" i="40"/>
  <c r="AE182" i="40"/>
  <c r="AE183" i="40"/>
  <c r="AE184" i="40"/>
  <c r="AE185" i="40"/>
  <c r="AE186" i="40"/>
  <c r="AE187" i="40"/>
  <c r="AE188" i="40"/>
  <c r="AE189" i="40"/>
  <c r="AE190" i="40"/>
  <c r="AE191" i="40"/>
  <c r="AE192" i="40"/>
  <c r="AE193" i="40"/>
  <c r="AE194" i="40"/>
  <c r="AE195" i="40"/>
  <c r="AE15" i="40"/>
  <c r="AC191" i="40"/>
  <c r="AC192" i="40"/>
  <c r="AC193" i="40"/>
  <c r="AC194" i="40"/>
  <c r="AC195" i="40"/>
  <c r="X19" i="40"/>
  <c r="X20" i="40"/>
  <c r="X16" i="40"/>
  <c r="X17" i="40"/>
  <c r="X18" i="40"/>
  <c r="X21" i="40"/>
  <c r="X22" i="40"/>
  <c r="X23" i="40"/>
  <c r="X24" i="40"/>
  <c r="X25" i="40"/>
  <c r="X26" i="40"/>
  <c r="X27" i="40"/>
  <c r="X28" i="40"/>
  <c r="X29" i="40"/>
  <c r="X30" i="40"/>
  <c r="X31" i="40"/>
  <c r="X32" i="40"/>
  <c r="X33" i="40"/>
  <c r="X34" i="40"/>
  <c r="X35" i="40"/>
  <c r="X36" i="40"/>
  <c r="X37" i="40"/>
  <c r="X38" i="40"/>
  <c r="X39" i="40"/>
  <c r="X40" i="40"/>
  <c r="X41" i="40"/>
  <c r="X42" i="40"/>
  <c r="X43" i="40"/>
  <c r="X44" i="40"/>
  <c r="X45" i="40"/>
  <c r="X46" i="40"/>
  <c r="X47" i="40"/>
  <c r="X48" i="40"/>
  <c r="X49" i="40"/>
  <c r="X50" i="40"/>
  <c r="X51" i="40"/>
  <c r="X52" i="40"/>
  <c r="X53" i="40"/>
  <c r="X54" i="40"/>
  <c r="X55" i="40"/>
  <c r="X56" i="40"/>
  <c r="X57" i="40"/>
  <c r="X58" i="40"/>
  <c r="X59" i="40"/>
  <c r="X60" i="40"/>
  <c r="X61" i="40"/>
  <c r="X62" i="40"/>
  <c r="X63" i="40"/>
  <c r="X64" i="40"/>
  <c r="X65" i="40"/>
  <c r="X66" i="40"/>
  <c r="X67" i="40"/>
  <c r="X68" i="40"/>
  <c r="X69" i="40"/>
  <c r="X70" i="40"/>
  <c r="X71" i="40"/>
  <c r="X72" i="40"/>
  <c r="X73" i="40"/>
  <c r="X74" i="40"/>
  <c r="X75" i="40"/>
  <c r="X76" i="40"/>
  <c r="X77" i="40"/>
  <c r="X78" i="40"/>
  <c r="X79" i="40"/>
  <c r="X80" i="40"/>
  <c r="X81" i="40"/>
  <c r="X82" i="40"/>
  <c r="X83" i="40"/>
  <c r="X84" i="40"/>
  <c r="X85" i="40"/>
  <c r="X86" i="40"/>
  <c r="X87" i="40"/>
  <c r="X88" i="40"/>
  <c r="X89" i="40"/>
  <c r="X90" i="40"/>
  <c r="X91" i="40"/>
  <c r="X92" i="40"/>
  <c r="X93" i="40"/>
  <c r="X94" i="40"/>
  <c r="X95" i="40"/>
  <c r="X96" i="40"/>
  <c r="X97" i="40"/>
  <c r="X98" i="40"/>
  <c r="X99" i="40"/>
  <c r="X100" i="40"/>
  <c r="X101" i="40"/>
  <c r="X102" i="40"/>
  <c r="X103" i="40"/>
  <c r="X104" i="40"/>
  <c r="X105" i="40"/>
  <c r="X106" i="40"/>
  <c r="X107" i="40"/>
  <c r="X108" i="40"/>
  <c r="X109" i="40"/>
  <c r="X110" i="40"/>
  <c r="X111" i="40"/>
  <c r="X112" i="40"/>
  <c r="X113" i="40"/>
  <c r="X114" i="40"/>
  <c r="X115" i="40"/>
  <c r="X116" i="40"/>
  <c r="X117" i="40"/>
  <c r="X118" i="40"/>
  <c r="X119" i="40"/>
  <c r="X120" i="40"/>
  <c r="X121" i="40"/>
  <c r="X122" i="40"/>
  <c r="X123" i="40"/>
  <c r="X124" i="40"/>
  <c r="X125" i="40"/>
  <c r="X126" i="40"/>
  <c r="X127" i="40"/>
  <c r="X128" i="40"/>
  <c r="X129" i="40"/>
  <c r="X130" i="40"/>
  <c r="X131" i="40"/>
  <c r="X132" i="40"/>
  <c r="X133" i="40"/>
  <c r="X134" i="40"/>
  <c r="X135" i="40"/>
  <c r="X136" i="40"/>
  <c r="X137" i="40"/>
  <c r="X138" i="40"/>
  <c r="X139" i="40"/>
  <c r="X140" i="40"/>
  <c r="X141" i="40"/>
  <c r="X142" i="40"/>
  <c r="X143" i="40"/>
  <c r="X144" i="40"/>
  <c r="X145" i="40"/>
  <c r="X146" i="40"/>
  <c r="X147" i="40"/>
  <c r="X148" i="40"/>
  <c r="X149" i="40"/>
  <c r="X150" i="40"/>
  <c r="X151" i="40"/>
  <c r="X152" i="40"/>
  <c r="X153" i="40"/>
  <c r="X154" i="40"/>
  <c r="X155" i="40"/>
  <c r="X156" i="40"/>
  <c r="X157" i="40"/>
  <c r="X158" i="40"/>
  <c r="X159" i="40"/>
  <c r="X160" i="40"/>
  <c r="X161" i="40"/>
  <c r="X162" i="40"/>
  <c r="X163" i="40"/>
  <c r="X164" i="40"/>
  <c r="X165" i="40"/>
  <c r="X166" i="40"/>
  <c r="X167" i="40"/>
  <c r="X168" i="40"/>
  <c r="X169" i="40"/>
  <c r="X170" i="40"/>
  <c r="X171" i="40"/>
  <c r="X172" i="40"/>
  <c r="X173" i="40"/>
  <c r="X174" i="40"/>
  <c r="X175" i="40"/>
  <c r="X176" i="40"/>
  <c r="X177" i="40"/>
  <c r="X178" i="40"/>
  <c r="X179" i="40"/>
  <c r="X180" i="40"/>
  <c r="X181" i="40"/>
  <c r="X182" i="40"/>
  <c r="X183" i="40"/>
  <c r="X184" i="40"/>
  <c r="X185" i="40"/>
  <c r="X186" i="40"/>
  <c r="X187" i="40"/>
  <c r="X188" i="40"/>
  <c r="X189" i="40"/>
  <c r="X190" i="40"/>
  <c r="X191" i="40"/>
  <c r="X192" i="40"/>
  <c r="X193" i="40"/>
  <c r="X194" i="40"/>
  <c r="X195" i="40"/>
  <c r="X15" i="40"/>
  <c r="AC16" i="40"/>
  <c r="AC17" i="40"/>
  <c r="AC18" i="40"/>
  <c r="AC19" i="40"/>
  <c r="AC20" i="40"/>
  <c r="AC21" i="40"/>
  <c r="AC22" i="40"/>
  <c r="AC23" i="40"/>
  <c r="AC24" i="40"/>
  <c r="AC25" i="40"/>
  <c r="AC26" i="40"/>
  <c r="AC27" i="40"/>
  <c r="AC28" i="40"/>
  <c r="AC29" i="40"/>
  <c r="AC30" i="40"/>
  <c r="AC31" i="40"/>
  <c r="AC32" i="40"/>
  <c r="AC33" i="40"/>
  <c r="AC34" i="40"/>
  <c r="AC35" i="40"/>
  <c r="AC36" i="40"/>
  <c r="AC37" i="40"/>
  <c r="AC38" i="40"/>
  <c r="AC39" i="40"/>
  <c r="AC40" i="40"/>
  <c r="AC41" i="40"/>
  <c r="AC42" i="40"/>
  <c r="AC43" i="40"/>
  <c r="AC44" i="40"/>
  <c r="AC45" i="40"/>
  <c r="AC46" i="40"/>
  <c r="AC47" i="40"/>
  <c r="AC48" i="40"/>
  <c r="AC49" i="40"/>
  <c r="AC50" i="40"/>
  <c r="AC51" i="40"/>
  <c r="AC52" i="40"/>
  <c r="AC53" i="40"/>
  <c r="AC54" i="40"/>
  <c r="AC55" i="40"/>
  <c r="AC56" i="40"/>
  <c r="AC57" i="40"/>
  <c r="AC58" i="40"/>
  <c r="AC59" i="40"/>
  <c r="AC60" i="40"/>
  <c r="AC61" i="40"/>
  <c r="AC62" i="40"/>
  <c r="AC63" i="40"/>
  <c r="AC64" i="40"/>
  <c r="AC65" i="40"/>
  <c r="AC66" i="40"/>
  <c r="AC67" i="40"/>
  <c r="AC68" i="40"/>
  <c r="AC69" i="40"/>
  <c r="AC70" i="40"/>
  <c r="AC71" i="40"/>
  <c r="AC72" i="40"/>
  <c r="AC73" i="40"/>
  <c r="AE73" i="40" s="1"/>
  <c r="AC74" i="40"/>
  <c r="AE74" i="40" s="1"/>
  <c r="AC75" i="40"/>
  <c r="AE75" i="40" s="1"/>
  <c r="AC76" i="40"/>
  <c r="AE76" i="40" s="1"/>
  <c r="AC77" i="40"/>
  <c r="AE77" i="40" s="1"/>
  <c r="AC78" i="40"/>
  <c r="AE78" i="40" s="1"/>
  <c r="AC79" i="40"/>
  <c r="AE79" i="40" s="1"/>
  <c r="AC80" i="40"/>
  <c r="AE80" i="40" s="1"/>
  <c r="AC81" i="40"/>
  <c r="AE81" i="40" s="1"/>
  <c r="AC82" i="40"/>
  <c r="AE82" i="40" s="1"/>
  <c r="AC83" i="40"/>
  <c r="AE83" i="40" s="1"/>
  <c r="AC84" i="40"/>
  <c r="AE84" i="40" s="1"/>
  <c r="AC85" i="40"/>
  <c r="AE85" i="40" s="1"/>
  <c r="AC86" i="40"/>
  <c r="AE86" i="40" s="1"/>
  <c r="AC87" i="40"/>
  <c r="AE87" i="40" s="1"/>
  <c r="AC88" i="40"/>
  <c r="AE88" i="40" s="1"/>
  <c r="AC89" i="40"/>
  <c r="AE89" i="40" s="1"/>
  <c r="AC90" i="40"/>
  <c r="AE90" i="40" s="1"/>
  <c r="AC91" i="40"/>
  <c r="AE91" i="40" s="1"/>
  <c r="AC92" i="40"/>
  <c r="AE92" i="40" s="1"/>
  <c r="AC93" i="40"/>
  <c r="AE93" i="40" s="1"/>
  <c r="AC94" i="40"/>
  <c r="AE94" i="40" s="1"/>
  <c r="AC95" i="40"/>
  <c r="AE95" i="40" s="1"/>
  <c r="AC96" i="40"/>
  <c r="AE96" i="40" s="1"/>
  <c r="AC97" i="40"/>
  <c r="AE97" i="40" s="1"/>
  <c r="AC98" i="40"/>
  <c r="AE98" i="40" s="1"/>
  <c r="AC99" i="40"/>
  <c r="AE99" i="40" s="1"/>
  <c r="AC100" i="40"/>
  <c r="AE100" i="40" s="1"/>
  <c r="AC101" i="40"/>
  <c r="AE101" i="40" s="1"/>
  <c r="AC102" i="40"/>
  <c r="AE102" i="40" s="1"/>
  <c r="AC103" i="40"/>
  <c r="AE103" i="40" s="1"/>
  <c r="AC104" i="40"/>
  <c r="AE104" i="40" s="1"/>
  <c r="AC105" i="40"/>
  <c r="AE105" i="40" s="1"/>
  <c r="AC106" i="40"/>
  <c r="AE106" i="40" s="1"/>
  <c r="AC107" i="40"/>
  <c r="AE107" i="40" s="1"/>
  <c r="AC108" i="40"/>
  <c r="AE108" i="40" s="1"/>
  <c r="AC109" i="40"/>
  <c r="AE109" i="40" s="1"/>
  <c r="AC110" i="40"/>
  <c r="AE110" i="40" s="1"/>
  <c r="AC111" i="40"/>
  <c r="AE111" i="40" s="1"/>
  <c r="AC112" i="40"/>
  <c r="AE112" i="40" s="1"/>
  <c r="AC113" i="40"/>
  <c r="AE113" i="40" s="1"/>
  <c r="AC114" i="40"/>
  <c r="AE114" i="40" s="1"/>
  <c r="AC115" i="40"/>
  <c r="AE115" i="40" s="1"/>
  <c r="AC116" i="40"/>
  <c r="AE116" i="40" s="1"/>
  <c r="AC117" i="40"/>
  <c r="AE117" i="40" s="1"/>
  <c r="AC118" i="40"/>
  <c r="AE118" i="40" s="1"/>
  <c r="AC119" i="40"/>
  <c r="AE119" i="40" s="1"/>
  <c r="AC120" i="40"/>
  <c r="AE120" i="40" s="1"/>
  <c r="AC121" i="40"/>
  <c r="AE121" i="40" s="1"/>
  <c r="AC122" i="40"/>
  <c r="AE122" i="40" s="1"/>
  <c r="AC123" i="40"/>
  <c r="AE123" i="40" s="1"/>
  <c r="AC124" i="40"/>
  <c r="AE124" i="40" s="1"/>
  <c r="AC125" i="40"/>
  <c r="AE125" i="40" s="1"/>
  <c r="AC126" i="40"/>
  <c r="AE126" i="40" s="1"/>
  <c r="AC127" i="40"/>
  <c r="AE127" i="40" s="1"/>
  <c r="AC128" i="40"/>
  <c r="AE128" i="40" s="1"/>
  <c r="AC129" i="40"/>
  <c r="AE129" i="40" s="1"/>
  <c r="AC130" i="40"/>
  <c r="AE130" i="40" s="1"/>
  <c r="AC131" i="40"/>
  <c r="AE131" i="40" s="1"/>
  <c r="AC132" i="40"/>
  <c r="AE132" i="40" s="1"/>
  <c r="AC133" i="40"/>
  <c r="AE133" i="40" s="1"/>
  <c r="AC134" i="40"/>
  <c r="AC135" i="40"/>
  <c r="AC136" i="40"/>
  <c r="AC137" i="40"/>
  <c r="AC138" i="40"/>
  <c r="AC139" i="40"/>
  <c r="AC140" i="40"/>
  <c r="AC141" i="40"/>
  <c r="AC142" i="40"/>
  <c r="AC143" i="40"/>
  <c r="AC144" i="40"/>
  <c r="AC145" i="40"/>
  <c r="AC146" i="40"/>
  <c r="AC147" i="40"/>
  <c r="AC148" i="40"/>
  <c r="AC149" i="40"/>
  <c r="AC150" i="40"/>
  <c r="AC151" i="40"/>
  <c r="AC152" i="40"/>
  <c r="AC153" i="40"/>
  <c r="AC154" i="40"/>
  <c r="AC155" i="40"/>
  <c r="AC156" i="40"/>
  <c r="AC157" i="40"/>
  <c r="AC158" i="40"/>
  <c r="AC159" i="40"/>
  <c r="AC160" i="40"/>
  <c r="AC161" i="40"/>
  <c r="AC162" i="40"/>
  <c r="AC163" i="40"/>
  <c r="AC164" i="40"/>
  <c r="AC165" i="40"/>
  <c r="AC166" i="40"/>
  <c r="AC167" i="40"/>
  <c r="AC168" i="40"/>
  <c r="AC169" i="40"/>
  <c r="AC170" i="40"/>
  <c r="AC171" i="40"/>
  <c r="AC172" i="40"/>
  <c r="AC173" i="40"/>
  <c r="AC174" i="40"/>
  <c r="AC175" i="40"/>
  <c r="AC176" i="40"/>
  <c r="AC177" i="40"/>
  <c r="AC178" i="40"/>
  <c r="AC179" i="40"/>
  <c r="AC180" i="40"/>
  <c r="AC181" i="40"/>
  <c r="AC182" i="40"/>
  <c r="AC183" i="40"/>
  <c r="AC184" i="40"/>
  <c r="AC185" i="40"/>
  <c r="AC186" i="40"/>
  <c r="AC187" i="40"/>
  <c r="AC188" i="40"/>
  <c r="AC189" i="40"/>
  <c r="AC190" i="40"/>
  <c r="AC15" i="40"/>
  <c r="AE16" i="38"/>
  <c r="AE17" i="38"/>
  <c r="AE18" i="38"/>
  <c r="AE19" i="38"/>
  <c r="AE20" i="38"/>
  <c r="AE21" i="38"/>
  <c r="AE22" i="38"/>
  <c r="AE23" i="38"/>
  <c r="AE24" i="38"/>
  <c r="AE25" i="38"/>
  <c r="AE26" i="38"/>
  <c r="AE27" i="38"/>
  <c r="AE28" i="38"/>
  <c r="AE29" i="38"/>
  <c r="AE30" i="38"/>
  <c r="AE31" i="38"/>
  <c r="AE32" i="38"/>
  <c r="AE33" i="38"/>
  <c r="AE34" i="38"/>
  <c r="AE35" i="38"/>
  <c r="AE36" i="38"/>
  <c r="AE37" i="38"/>
  <c r="AE38" i="38"/>
  <c r="AE39" i="38"/>
  <c r="AE40" i="38"/>
  <c r="AE41" i="38"/>
  <c r="AE42" i="38"/>
  <c r="AE43" i="38"/>
  <c r="AE44" i="38"/>
  <c r="AE45" i="38"/>
  <c r="AE46" i="38"/>
  <c r="AE47" i="38"/>
  <c r="AE48" i="38"/>
  <c r="AE49" i="38"/>
  <c r="AE50" i="38"/>
  <c r="AE51" i="38"/>
  <c r="AE52" i="38"/>
  <c r="AE53" i="38"/>
  <c r="AE54" i="38"/>
  <c r="AE55" i="38"/>
  <c r="AE56" i="38"/>
  <c r="AE57" i="38"/>
  <c r="AE58" i="38"/>
  <c r="AE59" i="38"/>
  <c r="AE60" i="38"/>
  <c r="AE61" i="38"/>
  <c r="AE62" i="38"/>
  <c r="AE63" i="38"/>
  <c r="AE64" i="38"/>
  <c r="AE65" i="38"/>
  <c r="AE66" i="38"/>
  <c r="AE67" i="38"/>
  <c r="AE68" i="38"/>
  <c r="AE69" i="38"/>
  <c r="AE70" i="38"/>
  <c r="AE71" i="38"/>
  <c r="AE72" i="38"/>
  <c r="AE73" i="38"/>
  <c r="AE74" i="38"/>
  <c r="AE75" i="38"/>
  <c r="AE76" i="38"/>
  <c r="AE77" i="38"/>
  <c r="AE78" i="38"/>
  <c r="AE79" i="38"/>
  <c r="AE80" i="38"/>
  <c r="AE81" i="38"/>
  <c r="AE82" i="38"/>
  <c r="AE83" i="38"/>
  <c r="AE84" i="38"/>
  <c r="AE85" i="38"/>
  <c r="AE86" i="38"/>
  <c r="AE87" i="38"/>
  <c r="AE88" i="38"/>
  <c r="AE89" i="38"/>
  <c r="AE90" i="38"/>
  <c r="AE91" i="38"/>
  <c r="AE92" i="38"/>
  <c r="AE93" i="38"/>
  <c r="AE94" i="38"/>
  <c r="AE95" i="38"/>
  <c r="AE96" i="38"/>
  <c r="AE97" i="38"/>
  <c r="AE98" i="38"/>
  <c r="AE99" i="38"/>
  <c r="AE100" i="38"/>
  <c r="AE101" i="38"/>
  <c r="AE102" i="38"/>
  <c r="AE103" i="38"/>
  <c r="AE104" i="38"/>
  <c r="AE105" i="38"/>
  <c r="AE106" i="38"/>
  <c r="AE107" i="38"/>
  <c r="AE108" i="38"/>
  <c r="AE109" i="38"/>
  <c r="AE110" i="38"/>
  <c r="AE111" i="38"/>
  <c r="AE112" i="38"/>
  <c r="AE113" i="38"/>
  <c r="AE114" i="38"/>
  <c r="AE115" i="38"/>
  <c r="AE116" i="38"/>
  <c r="AE117" i="38"/>
  <c r="AE118" i="38"/>
  <c r="AE119" i="38"/>
  <c r="AE120" i="38"/>
  <c r="AE121" i="38"/>
  <c r="AE122" i="38"/>
  <c r="AE123" i="38"/>
  <c r="AE124" i="38"/>
  <c r="AE125" i="38"/>
  <c r="AE126" i="38"/>
  <c r="AE127" i="38"/>
  <c r="AE128" i="38"/>
  <c r="AE129" i="38"/>
  <c r="AE130" i="38"/>
  <c r="AE131" i="38"/>
  <c r="AE132" i="38"/>
  <c r="AE133" i="38"/>
  <c r="AE134" i="38"/>
  <c r="AE135" i="38"/>
  <c r="AE136" i="38"/>
  <c r="AE137" i="38"/>
  <c r="AE138" i="38"/>
  <c r="AE139" i="38"/>
  <c r="AE140" i="38"/>
  <c r="AE141" i="38"/>
  <c r="AE142" i="38"/>
  <c r="AE143" i="38"/>
  <c r="AE144" i="38"/>
  <c r="AE145" i="38"/>
  <c r="AE146" i="38"/>
  <c r="AE147" i="38"/>
  <c r="AE148" i="38"/>
  <c r="AE149" i="38"/>
  <c r="AE150" i="38"/>
  <c r="AE151" i="38"/>
  <c r="AE152" i="38"/>
  <c r="AE153" i="38"/>
  <c r="AE154" i="38"/>
  <c r="AE155" i="38"/>
  <c r="AE156" i="38"/>
  <c r="AE157" i="38"/>
  <c r="AE158" i="38"/>
  <c r="AE159" i="38"/>
  <c r="AE160" i="38"/>
  <c r="AE161" i="38"/>
  <c r="AE162" i="38"/>
  <c r="AE163" i="38"/>
  <c r="AE164" i="38"/>
  <c r="AE165" i="38"/>
  <c r="AE166" i="38"/>
  <c r="AE167" i="38"/>
  <c r="AE168" i="38"/>
  <c r="AE169" i="38"/>
  <c r="AE170" i="38"/>
  <c r="AE171" i="38"/>
  <c r="AE172" i="38"/>
  <c r="AE173" i="38"/>
  <c r="AE174" i="38"/>
  <c r="AE175" i="38"/>
  <c r="AE176" i="38"/>
  <c r="AE177" i="38"/>
  <c r="AE178" i="38"/>
  <c r="AE179" i="38"/>
  <c r="AE180" i="38"/>
  <c r="AE181" i="38"/>
  <c r="AE182" i="38"/>
  <c r="AE183" i="38"/>
  <c r="AE184" i="38"/>
  <c r="AE185" i="38"/>
  <c r="AE186" i="38"/>
  <c r="AE187" i="38"/>
  <c r="AE188" i="38"/>
  <c r="AE189" i="38"/>
  <c r="AE190" i="38"/>
  <c r="AE191" i="38"/>
  <c r="AE192" i="38"/>
  <c r="AE193" i="38"/>
  <c r="AE194" i="38"/>
  <c r="AE195" i="38"/>
  <c r="AE15" i="38"/>
  <c r="AC16" i="38"/>
  <c r="AC17" i="38"/>
  <c r="AC18" i="38"/>
  <c r="AC19" i="38"/>
  <c r="AC20" i="38"/>
  <c r="AC21" i="38"/>
  <c r="AC22" i="38"/>
  <c r="AC23" i="38"/>
  <c r="AC24" i="38"/>
  <c r="AC25" i="38"/>
  <c r="AC26" i="38"/>
  <c r="AC27" i="38"/>
  <c r="AC28" i="38"/>
  <c r="AC29" i="38"/>
  <c r="AC30" i="38"/>
  <c r="AC31" i="38"/>
  <c r="AC32" i="38"/>
  <c r="AC33" i="38"/>
  <c r="AC34" i="38"/>
  <c r="AC35" i="38"/>
  <c r="AC36" i="38"/>
  <c r="AC37" i="38"/>
  <c r="AC38" i="38"/>
  <c r="AC39" i="38"/>
  <c r="AC40" i="38"/>
  <c r="AC41" i="38"/>
  <c r="AC42" i="38"/>
  <c r="AC43" i="38"/>
  <c r="AC44" i="38"/>
  <c r="AC45" i="38"/>
  <c r="AC46" i="38"/>
  <c r="AC47" i="38"/>
  <c r="AC48" i="38"/>
  <c r="AC49" i="38"/>
  <c r="AC50" i="38"/>
  <c r="AC51" i="38"/>
  <c r="AC52" i="38"/>
  <c r="AC53" i="38"/>
  <c r="AC54" i="38"/>
  <c r="AC55" i="38"/>
  <c r="AC56" i="38"/>
  <c r="AC57" i="38"/>
  <c r="AC58" i="38"/>
  <c r="AC59" i="38"/>
  <c r="AC60" i="38"/>
  <c r="AC61" i="38"/>
  <c r="AC62" i="38"/>
  <c r="AC63" i="38"/>
  <c r="AC64" i="38"/>
  <c r="AC65" i="38"/>
  <c r="AC66" i="38"/>
  <c r="AC67" i="38"/>
  <c r="AC68" i="38"/>
  <c r="AC69" i="38"/>
  <c r="AC70" i="38"/>
  <c r="AC71" i="38"/>
  <c r="AC72" i="38"/>
  <c r="AC73" i="38"/>
  <c r="AC74" i="38"/>
  <c r="AC75" i="38"/>
  <c r="AC76" i="38"/>
  <c r="AC77" i="38"/>
  <c r="AC78" i="38"/>
  <c r="AC79" i="38"/>
  <c r="AC80" i="38"/>
  <c r="AC81" i="38"/>
  <c r="AC82" i="38"/>
  <c r="AC83" i="38"/>
  <c r="AC84" i="38"/>
  <c r="AC85" i="38"/>
  <c r="AC86" i="38"/>
  <c r="AC87" i="38"/>
  <c r="AC88" i="38"/>
  <c r="AC89" i="38"/>
  <c r="AC90" i="38"/>
  <c r="AC91" i="38"/>
  <c r="AC92" i="38"/>
  <c r="AC93" i="38"/>
  <c r="AC94" i="38"/>
  <c r="AC95" i="38"/>
  <c r="AC96" i="38"/>
  <c r="AC97" i="38"/>
  <c r="AC98" i="38"/>
  <c r="AC99" i="38"/>
  <c r="AC100" i="38"/>
  <c r="AC101" i="38"/>
  <c r="AC102" i="38"/>
  <c r="AC103" i="38"/>
  <c r="AC104" i="38"/>
  <c r="AC105" i="38"/>
  <c r="AC106" i="38"/>
  <c r="AC107" i="38"/>
  <c r="AC108" i="38"/>
  <c r="AC109" i="38"/>
  <c r="AC110" i="38"/>
  <c r="AC111" i="38"/>
  <c r="AC112" i="38"/>
  <c r="AC113" i="38"/>
  <c r="AC114" i="38"/>
  <c r="AC115" i="38"/>
  <c r="AC116" i="38"/>
  <c r="AC117" i="38"/>
  <c r="AC118" i="38"/>
  <c r="AC119" i="38"/>
  <c r="AC120" i="38"/>
  <c r="AC121" i="38"/>
  <c r="AC122" i="38"/>
  <c r="AC123" i="38"/>
  <c r="AC124" i="38"/>
  <c r="AC125" i="38"/>
  <c r="AC126" i="38"/>
  <c r="AC127" i="38"/>
  <c r="AC128" i="38"/>
  <c r="AC129" i="38"/>
  <c r="AC130" i="38"/>
  <c r="AC131" i="38"/>
  <c r="AC132" i="38"/>
  <c r="AC133" i="38"/>
  <c r="AC134" i="38"/>
  <c r="AC135" i="38"/>
  <c r="AC136" i="38"/>
  <c r="AC137" i="38"/>
  <c r="AC138" i="38"/>
  <c r="AC139" i="38"/>
  <c r="AC140" i="38"/>
  <c r="AC141" i="38"/>
  <c r="AC142" i="38"/>
  <c r="AC143" i="38"/>
  <c r="AC144" i="38"/>
  <c r="AC145" i="38"/>
  <c r="AC146" i="38"/>
  <c r="AC147" i="38"/>
  <c r="AC148" i="38"/>
  <c r="AC149" i="38"/>
  <c r="AC150" i="38"/>
  <c r="AC151" i="38"/>
  <c r="AC152" i="38"/>
  <c r="AC153" i="38"/>
  <c r="AC154" i="38"/>
  <c r="AC155" i="38"/>
  <c r="AC156" i="38"/>
  <c r="AC157" i="38"/>
  <c r="AC158" i="38"/>
  <c r="AC159" i="38"/>
  <c r="AC160" i="38"/>
  <c r="AC161" i="38"/>
  <c r="AC162" i="38"/>
  <c r="AC163" i="38"/>
  <c r="AC164" i="38"/>
  <c r="AC165" i="38"/>
  <c r="AC166" i="38"/>
  <c r="AC167" i="38"/>
  <c r="AC168" i="38"/>
  <c r="AC169" i="38"/>
  <c r="AC170" i="38"/>
  <c r="AC171" i="38"/>
  <c r="AC172" i="38"/>
  <c r="AC173" i="38"/>
  <c r="AC174" i="38"/>
  <c r="AC175" i="38"/>
  <c r="AC176" i="38"/>
  <c r="AC177" i="38"/>
  <c r="AC178" i="38"/>
  <c r="AC179" i="38"/>
  <c r="AC180" i="38"/>
  <c r="AC181" i="38"/>
  <c r="AC182" i="38"/>
  <c r="AC183" i="38"/>
  <c r="AC184" i="38"/>
  <c r="AC185" i="38"/>
  <c r="AC186" i="38"/>
  <c r="AC187" i="38"/>
  <c r="AC188" i="38"/>
  <c r="AC189" i="38"/>
  <c r="AC190" i="38"/>
  <c r="AC191" i="38"/>
  <c r="AC192" i="38"/>
  <c r="AC193" i="38"/>
  <c r="AC194" i="38"/>
  <c r="AC195" i="38"/>
  <c r="AC15" i="38"/>
  <c r="X16" i="38"/>
  <c r="X17" i="38"/>
  <c r="X18" i="38"/>
  <c r="X19" i="38"/>
  <c r="X20" i="38"/>
  <c r="X21" i="38"/>
  <c r="X22" i="38"/>
  <c r="X23" i="38"/>
  <c r="X24" i="38"/>
  <c r="X25" i="38"/>
  <c r="X26" i="38"/>
  <c r="X27" i="38"/>
  <c r="X28" i="38"/>
  <c r="X29" i="38"/>
  <c r="X30" i="38"/>
  <c r="X31" i="38"/>
  <c r="X32" i="38"/>
  <c r="X33" i="38"/>
  <c r="X34" i="38"/>
  <c r="X35" i="38"/>
  <c r="X36" i="38"/>
  <c r="X37" i="38"/>
  <c r="X38" i="38"/>
  <c r="X39" i="38"/>
  <c r="X40" i="38"/>
  <c r="X41" i="38"/>
  <c r="X42" i="38"/>
  <c r="X43" i="38"/>
  <c r="X44" i="38"/>
  <c r="X45" i="38"/>
  <c r="X46" i="38"/>
  <c r="X47" i="38"/>
  <c r="X48" i="38"/>
  <c r="X49" i="38"/>
  <c r="X50" i="38"/>
  <c r="X51" i="38"/>
  <c r="X52" i="38"/>
  <c r="X53" i="38"/>
  <c r="X54" i="38"/>
  <c r="X55" i="38"/>
  <c r="X56" i="38"/>
  <c r="X57" i="38"/>
  <c r="X58" i="38"/>
  <c r="X59" i="38"/>
  <c r="X60" i="38"/>
  <c r="X61" i="38"/>
  <c r="X62" i="38"/>
  <c r="X63" i="38"/>
  <c r="X64" i="38"/>
  <c r="X65" i="38"/>
  <c r="X66" i="38"/>
  <c r="X67" i="38"/>
  <c r="X68" i="38"/>
  <c r="X69" i="38"/>
  <c r="X70" i="38"/>
  <c r="X71" i="38"/>
  <c r="X72" i="38"/>
  <c r="X73" i="38"/>
  <c r="X74" i="38"/>
  <c r="X75" i="38"/>
  <c r="X76" i="38"/>
  <c r="X77" i="38"/>
  <c r="X78" i="38"/>
  <c r="X79" i="38"/>
  <c r="X80" i="38"/>
  <c r="X81" i="38"/>
  <c r="X82" i="38"/>
  <c r="X83" i="38"/>
  <c r="X84" i="38"/>
  <c r="X85" i="38"/>
  <c r="X86" i="38"/>
  <c r="X87" i="38"/>
  <c r="X88" i="38"/>
  <c r="X89" i="38"/>
  <c r="X90" i="38"/>
  <c r="X91" i="38"/>
  <c r="X92" i="38"/>
  <c r="X93" i="38"/>
  <c r="X94" i="38"/>
  <c r="X95" i="38"/>
  <c r="X96" i="38"/>
  <c r="X97" i="38"/>
  <c r="X98" i="38"/>
  <c r="X99" i="38"/>
  <c r="X100" i="38"/>
  <c r="X101" i="38"/>
  <c r="X102" i="38"/>
  <c r="X103" i="38"/>
  <c r="X104" i="38"/>
  <c r="X105" i="38"/>
  <c r="X106" i="38"/>
  <c r="X107" i="38"/>
  <c r="X108" i="38"/>
  <c r="X109" i="38"/>
  <c r="X110" i="38"/>
  <c r="X111" i="38"/>
  <c r="X112" i="38"/>
  <c r="X113" i="38"/>
  <c r="X114" i="38"/>
  <c r="X115" i="38"/>
  <c r="X116" i="38"/>
  <c r="X117" i="38"/>
  <c r="X118" i="38"/>
  <c r="X119" i="38"/>
  <c r="X120" i="38"/>
  <c r="X121" i="38"/>
  <c r="X122" i="38"/>
  <c r="X123" i="38"/>
  <c r="X124" i="38"/>
  <c r="X125" i="38"/>
  <c r="X126" i="38"/>
  <c r="X127" i="38"/>
  <c r="X128" i="38"/>
  <c r="X129" i="38"/>
  <c r="X130" i="38"/>
  <c r="X131" i="38"/>
  <c r="X132" i="38"/>
  <c r="X133" i="38"/>
  <c r="X134" i="38"/>
  <c r="X135" i="38"/>
  <c r="X136" i="38"/>
  <c r="X137" i="38"/>
  <c r="X138" i="38"/>
  <c r="X139" i="38"/>
  <c r="X140" i="38"/>
  <c r="X141" i="38"/>
  <c r="X142" i="38"/>
  <c r="X143" i="38"/>
  <c r="X144" i="38"/>
  <c r="X145" i="38"/>
  <c r="X146" i="38"/>
  <c r="X147" i="38"/>
  <c r="X148" i="38"/>
  <c r="X149" i="38"/>
  <c r="X150" i="38"/>
  <c r="X151" i="38"/>
  <c r="X152" i="38"/>
  <c r="X153" i="38"/>
  <c r="X154" i="38"/>
  <c r="X155" i="38"/>
  <c r="X156" i="38"/>
  <c r="X157" i="38"/>
  <c r="X158" i="38"/>
  <c r="X159" i="38"/>
  <c r="X160" i="38"/>
  <c r="X161" i="38"/>
  <c r="X162" i="38"/>
  <c r="X163" i="38"/>
  <c r="X164" i="38"/>
  <c r="X165" i="38"/>
  <c r="X166" i="38"/>
  <c r="X167" i="38"/>
  <c r="X168" i="38"/>
  <c r="X169" i="38"/>
  <c r="X170" i="38"/>
  <c r="X171" i="38"/>
  <c r="X172" i="38"/>
  <c r="X173" i="38"/>
  <c r="X174" i="38"/>
  <c r="X175" i="38"/>
  <c r="X176" i="38"/>
  <c r="X177" i="38"/>
  <c r="X178" i="38"/>
  <c r="X179" i="38"/>
  <c r="X180" i="38"/>
  <c r="X181" i="38"/>
  <c r="X182" i="38"/>
  <c r="X183" i="38"/>
  <c r="X184" i="38"/>
  <c r="X185" i="38"/>
  <c r="X186" i="38"/>
  <c r="X187" i="38"/>
  <c r="X188" i="38"/>
  <c r="X189" i="38"/>
  <c r="X190" i="38"/>
  <c r="X191" i="38"/>
  <c r="X192" i="38"/>
  <c r="X193" i="38"/>
  <c r="X194" i="38"/>
  <c r="X195" i="38"/>
  <c r="X15" i="38"/>
  <c r="O72" i="40"/>
  <c r="J72" i="40"/>
  <c r="O71" i="40"/>
  <c r="J71" i="40"/>
  <c r="O70" i="40"/>
  <c r="J70" i="40"/>
  <c r="O69" i="40"/>
  <c r="J69" i="40"/>
  <c r="O68" i="40"/>
  <c r="J68" i="40"/>
  <c r="O67" i="40"/>
  <c r="J67" i="40"/>
  <c r="O66" i="40"/>
  <c r="J66" i="40"/>
  <c r="O65" i="40"/>
  <c r="J65" i="40"/>
  <c r="O64" i="40"/>
  <c r="J64" i="40"/>
  <c r="O63" i="40"/>
  <c r="J63" i="40"/>
  <c r="O62" i="40"/>
  <c r="J62" i="40"/>
  <c r="O61" i="40"/>
  <c r="J61" i="40"/>
  <c r="O60" i="40"/>
  <c r="J60" i="40"/>
  <c r="O59" i="40"/>
  <c r="J59" i="40"/>
  <c r="O58" i="40"/>
  <c r="J58" i="40"/>
  <c r="O57" i="40"/>
  <c r="J57" i="40"/>
  <c r="O56" i="40"/>
  <c r="J56" i="40"/>
  <c r="O55" i="40"/>
  <c r="J55" i="40"/>
  <c r="O54" i="40"/>
  <c r="J54" i="40"/>
  <c r="O53" i="40"/>
  <c r="J53" i="40"/>
  <c r="O52" i="40"/>
  <c r="J52" i="40"/>
  <c r="O51" i="40"/>
  <c r="J51" i="40"/>
  <c r="O50" i="40"/>
  <c r="J50" i="40"/>
  <c r="O49" i="40"/>
  <c r="J49" i="40"/>
  <c r="O48" i="40"/>
  <c r="J48" i="40"/>
  <c r="O47" i="40"/>
  <c r="J47" i="40"/>
  <c r="O46" i="40"/>
  <c r="J46" i="40"/>
  <c r="O45" i="40"/>
  <c r="J45" i="40"/>
  <c r="O44" i="40"/>
  <c r="J44" i="40"/>
  <c r="O43" i="40"/>
  <c r="J43" i="40"/>
  <c r="O42" i="40"/>
  <c r="J42" i="40"/>
  <c r="O41" i="40"/>
  <c r="J41" i="40"/>
  <c r="O40" i="40"/>
  <c r="J40" i="40"/>
  <c r="O39" i="40"/>
  <c r="J39" i="40"/>
  <c r="O38" i="40"/>
  <c r="J38" i="40"/>
  <c r="O37" i="40"/>
  <c r="J37" i="40"/>
  <c r="O36" i="40"/>
  <c r="J36" i="40"/>
  <c r="O35" i="40"/>
  <c r="J35" i="40"/>
  <c r="O34" i="40"/>
  <c r="J34" i="40"/>
  <c r="O33" i="40"/>
  <c r="J33" i="40"/>
  <c r="O32" i="40"/>
  <c r="J32" i="40"/>
  <c r="O31" i="40"/>
  <c r="J31" i="40"/>
  <c r="O30" i="40"/>
  <c r="J30" i="40"/>
  <c r="O29" i="40"/>
  <c r="J29" i="40"/>
  <c r="O28" i="40"/>
  <c r="J28" i="40"/>
  <c r="O27" i="40"/>
  <c r="J27" i="40"/>
  <c r="O26" i="40"/>
  <c r="J26" i="40"/>
  <c r="O25" i="40"/>
  <c r="J25" i="40"/>
  <c r="O24" i="40"/>
  <c r="J24" i="40"/>
  <c r="O23" i="40"/>
  <c r="J23" i="40"/>
  <c r="O22" i="40"/>
  <c r="J22" i="40"/>
  <c r="O21" i="40"/>
  <c r="J21" i="40"/>
  <c r="O20" i="40"/>
  <c r="J20" i="40"/>
  <c r="O19" i="40"/>
  <c r="J19" i="40"/>
  <c r="O18" i="40"/>
  <c r="J18" i="40"/>
  <c r="O17" i="40"/>
  <c r="J17" i="40"/>
  <c r="O16" i="40"/>
  <c r="J16" i="40"/>
  <c r="O15" i="40"/>
  <c r="J15" i="40"/>
  <c r="O72" i="39"/>
  <c r="J72" i="39"/>
  <c r="O71" i="39"/>
  <c r="J71" i="39"/>
  <c r="O70" i="39"/>
  <c r="J70" i="39"/>
  <c r="O69" i="39"/>
  <c r="J69" i="39"/>
  <c r="O68" i="39"/>
  <c r="J68" i="39"/>
  <c r="O67" i="39"/>
  <c r="J67" i="39"/>
  <c r="O66" i="39"/>
  <c r="J66" i="39"/>
  <c r="O65" i="39"/>
  <c r="J65" i="39"/>
  <c r="O64" i="39"/>
  <c r="J64" i="39"/>
  <c r="O63" i="39"/>
  <c r="J63" i="39"/>
  <c r="O62" i="39"/>
  <c r="J62" i="39"/>
  <c r="O61" i="39"/>
  <c r="J61" i="39"/>
  <c r="O60" i="39"/>
  <c r="J60" i="39"/>
  <c r="O59" i="39"/>
  <c r="J59" i="39"/>
  <c r="O58" i="39"/>
  <c r="J58" i="39"/>
  <c r="O57" i="39"/>
  <c r="J57" i="39"/>
  <c r="O56" i="39"/>
  <c r="J56" i="39"/>
  <c r="O55" i="39"/>
  <c r="J55" i="39"/>
  <c r="O54" i="39"/>
  <c r="J54" i="39"/>
  <c r="O53" i="39"/>
  <c r="J53" i="39"/>
  <c r="O52" i="39"/>
  <c r="J52" i="39"/>
  <c r="O51" i="39"/>
  <c r="J51" i="39"/>
  <c r="O50" i="39"/>
  <c r="J50" i="39"/>
  <c r="O49" i="39"/>
  <c r="J49" i="39"/>
  <c r="O48" i="39"/>
  <c r="J48" i="39"/>
  <c r="O47" i="39"/>
  <c r="J47" i="39"/>
  <c r="O46" i="39"/>
  <c r="J46" i="39"/>
  <c r="O45" i="39"/>
  <c r="J45" i="39"/>
  <c r="O44" i="39"/>
  <c r="J44" i="39"/>
  <c r="O43" i="39"/>
  <c r="J43" i="39"/>
  <c r="O42" i="39"/>
  <c r="J42" i="39"/>
  <c r="O41" i="39"/>
  <c r="J41" i="39"/>
  <c r="O40" i="39"/>
  <c r="J40" i="39"/>
  <c r="O39" i="39"/>
  <c r="J39" i="39"/>
  <c r="O38" i="39"/>
  <c r="J38" i="39"/>
  <c r="O37" i="39"/>
  <c r="J37" i="39"/>
  <c r="O36" i="39"/>
  <c r="J36" i="39"/>
  <c r="O35" i="39"/>
  <c r="J35" i="39"/>
  <c r="O34" i="39"/>
  <c r="J34" i="39"/>
  <c r="O33" i="39"/>
  <c r="J33" i="39"/>
  <c r="O32" i="39"/>
  <c r="J32" i="39"/>
  <c r="O31" i="39"/>
  <c r="J31" i="39"/>
  <c r="O30" i="39"/>
  <c r="J30" i="39"/>
  <c r="O29" i="39"/>
  <c r="J29" i="39"/>
  <c r="O28" i="39"/>
  <c r="J28" i="39"/>
  <c r="O27" i="39"/>
  <c r="J27" i="39"/>
  <c r="O26" i="39"/>
  <c r="J26" i="39"/>
  <c r="O25" i="39"/>
  <c r="J25" i="39"/>
  <c r="O24" i="39"/>
  <c r="J24" i="39"/>
  <c r="O23" i="39"/>
  <c r="J23" i="39"/>
  <c r="O22" i="39"/>
  <c r="J22" i="39"/>
  <c r="O21" i="39"/>
  <c r="J21" i="39"/>
  <c r="O20" i="39"/>
  <c r="J20" i="39"/>
  <c r="O19" i="39"/>
  <c r="J19" i="39"/>
  <c r="O18" i="39"/>
  <c r="J18" i="39"/>
  <c r="O17" i="39"/>
  <c r="J17" i="39"/>
  <c r="O16" i="39"/>
  <c r="J16" i="39"/>
  <c r="O15" i="39"/>
  <c r="J15" i="39"/>
  <c r="O16" i="38"/>
  <c r="O72" i="38"/>
  <c r="J72" i="38"/>
  <c r="O71" i="38"/>
  <c r="J71" i="38"/>
  <c r="O70" i="38"/>
  <c r="J70" i="38"/>
  <c r="O69" i="38"/>
  <c r="J69" i="38"/>
  <c r="O68" i="38"/>
  <c r="J68" i="38"/>
  <c r="O67" i="38"/>
  <c r="J67" i="38"/>
  <c r="O66" i="38"/>
  <c r="J66" i="38"/>
  <c r="O65" i="38"/>
  <c r="J65" i="38"/>
  <c r="O64" i="38"/>
  <c r="J64" i="38"/>
  <c r="O63" i="38"/>
  <c r="J63" i="38"/>
  <c r="O62" i="38"/>
  <c r="J62" i="38"/>
  <c r="O61" i="38"/>
  <c r="J61" i="38"/>
  <c r="O60" i="38"/>
  <c r="J60" i="38"/>
  <c r="O59" i="38"/>
  <c r="J59" i="38"/>
  <c r="O58" i="38"/>
  <c r="J58" i="38"/>
  <c r="O57" i="38"/>
  <c r="J57" i="38"/>
  <c r="O56" i="38"/>
  <c r="J56" i="38"/>
  <c r="O55" i="38"/>
  <c r="J55" i="38"/>
  <c r="O54" i="38"/>
  <c r="J54" i="38"/>
  <c r="O53" i="38"/>
  <c r="J53" i="38"/>
  <c r="O52" i="38"/>
  <c r="J52" i="38"/>
  <c r="O51" i="38"/>
  <c r="J51" i="38"/>
  <c r="O50" i="38"/>
  <c r="J50" i="38"/>
  <c r="O49" i="38"/>
  <c r="J49" i="38"/>
  <c r="O48" i="38"/>
  <c r="J48" i="38"/>
  <c r="O47" i="38"/>
  <c r="J47" i="38"/>
  <c r="O46" i="38"/>
  <c r="J46" i="38"/>
  <c r="O45" i="38"/>
  <c r="J45" i="38"/>
  <c r="O44" i="38"/>
  <c r="J44" i="38"/>
  <c r="O43" i="38"/>
  <c r="J43" i="38"/>
  <c r="O42" i="38"/>
  <c r="J42" i="38"/>
  <c r="O41" i="38"/>
  <c r="J41" i="38"/>
  <c r="O40" i="38"/>
  <c r="J40" i="38"/>
  <c r="O39" i="38"/>
  <c r="J39" i="38"/>
  <c r="O38" i="38"/>
  <c r="J38" i="38"/>
  <c r="O37" i="38"/>
  <c r="J37" i="38"/>
  <c r="O36" i="38"/>
  <c r="J36" i="38"/>
  <c r="O35" i="38"/>
  <c r="J35" i="38"/>
  <c r="O34" i="38"/>
  <c r="J34" i="38"/>
  <c r="O33" i="38"/>
  <c r="J33" i="38"/>
  <c r="O32" i="38"/>
  <c r="J32" i="38"/>
  <c r="O31" i="38"/>
  <c r="J31" i="38"/>
  <c r="O30" i="38"/>
  <c r="J30" i="38"/>
  <c r="O29" i="38"/>
  <c r="J29" i="38"/>
  <c r="O28" i="38"/>
  <c r="J28" i="38"/>
  <c r="O27" i="38"/>
  <c r="J27" i="38"/>
  <c r="O26" i="38"/>
  <c r="J26" i="38"/>
  <c r="O25" i="38"/>
  <c r="J25" i="38"/>
  <c r="O24" i="38"/>
  <c r="J24" i="38"/>
  <c r="O23" i="38"/>
  <c r="J23" i="38"/>
  <c r="O22" i="38"/>
  <c r="J22" i="38"/>
  <c r="O21" i="38"/>
  <c r="J21" i="38"/>
  <c r="O20" i="38"/>
  <c r="J20" i="38"/>
  <c r="O19" i="38"/>
  <c r="J19" i="38"/>
  <c r="O18" i="38"/>
  <c r="J18" i="38"/>
  <c r="O17" i="38"/>
  <c r="J17" i="38"/>
  <c r="J16" i="38"/>
  <c r="O15" i="38"/>
  <c r="J15" i="38"/>
  <c r="AE91" i="43" l="1"/>
  <c r="AE92" i="43"/>
  <c r="AE94" i="43"/>
  <c r="AE93" i="43"/>
</calcChain>
</file>

<file path=xl/sharedStrings.xml><?xml version="1.0" encoding="utf-8"?>
<sst xmlns="http://schemas.openxmlformats.org/spreadsheetml/2006/main" count="1358" uniqueCount="239">
  <si>
    <t>III B.Tech    II-Sem     Mid- I    Examination</t>
  </si>
  <si>
    <t>Name of the Subject:</t>
  </si>
  <si>
    <t>Name of the Faculty:</t>
  </si>
  <si>
    <t xml:space="preserve">Subject Code: </t>
  </si>
  <si>
    <t>Regulation: R20</t>
  </si>
  <si>
    <t>A.Y:2024-25</t>
  </si>
  <si>
    <t xml:space="preserve"> Section : A,B&amp;C</t>
  </si>
  <si>
    <t>SN0</t>
  </si>
  <si>
    <t>Regd.No</t>
  </si>
  <si>
    <t>DESCRIPTIVE EXAM</t>
  </si>
  <si>
    <t>Descriptive Examination</t>
  </si>
  <si>
    <t>Objective</t>
  </si>
  <si>
    <t>Assignment(Open Book)</t>
  </si>
  <si>
    <t>Seminar</t>
  </si>
  <si>
    <t>Total</t>
  </si>
  <si>
    <t>Discriptive Total Marks</t>
  </si>
  <si>
    <t>a</t>
  </si>
  <si>
    <t>A</t>
  </si>
  <si>
    <t>B</t>
  </si>
  <si>
    <t>1a</t>
  </si>
  <si>
    <t>1b</t>
  </si>
  <si>
    <t>2a</t>
  </si>
  <si>
    <t>2b</t>
  </si>
  <si>
    <t>Assignment marks</t>
  </si>
  <si>
    <t>(X M)</t>
  </si>
  <si>
    <t>(6 M)</t>
  </si>
  <si>
    <t>(30M)</t>
  </si>
  <si>
    <t>(20M)</t>
  </si>
  <si>
    <t>(4 M)</t>
  </si>
  <si>
    <t>(5M)</t>
  </si>
  <si>
    <t>(75M)</t>
  </si>
  <si>
    <t>22BQ1A5401</t>
  </si>
  <si>
    <t>22BQ1A5402</t>
  </si>
  <si>
    <t>22BQ1A5403</t>
  </si>
  <si>
    <t>22BQ1A5404</t>
  </si>
  <si>
    <t>MID-I Descriptive Examination</t>
  </si>
  <si>
    <t>22BQ1A5405</t>
  </si>
  <si>
    <t>Q.NO</t>
  </si>
  <si>
    <t>CO</t>
  </si>
  <si>
    <t>BL</t>
  </si>
  <si>
    <t>PO</t>
  </si>
  <si>
    <t>Marks</t>
  </si>
  <si>
    <t>22BQ1A5406</t>
  </si>
  <si>
    <t>22BQ1A5407</t>
  </si>
  <si>
    <t>b</t>
  </si>
  <si>
    <t>22BQ1A5408</t>
  </si>
  <si>
    <t>22BQ1A5409</t>
  </si>
  <si>
    <t>22BQ1A5410</t>
  </si>
  <si>
    <t>22BQ1A5411</t>
  </si>
  <si>
    <t>22BQ1A5412</t>
  </si>
  <si>
    <t>22BQ1A5413</t>
  </si>
  <si>
    <t>MID- I  Assignment(Open Book)</t>
  </si>
  <si>
    <t>22BQ1A5414</t>
  </si>
  <si>
    <t>22BQ1A5415</t>
  </si>
  <si>
    <t>22BQ1A5416</t>
  </si>
  <si>
    <t>22BQ1A5417</t>
  </si>
  <si>
    <t>22BQ1A5419</t>
  </si>
  <si>
    <t>22BQ1A5420</t>
  </si>
  <si>
    <t>22BQ1A5421</t>
  </si>
  <si>
    <t>22BQ1A5423</t>
  </si>
  <si>
    <t>22BQ1A5424</t>
  </si>
  <si>
    <t>22BQ1A5425</t>
  </si>
  <si>
    <t>22BQ1A5426</t>
  </si>
  <si>
    <t>22BQ1A5427</t>
  </si>
  <si>
    <t>22BQ1A5428</t>
  </si>
  <si>
    <t>22BQ1A5429</t>
  </si>
  <si>
    <t>22BQ1A5430</t>
  </si>
  <si>
    <t>22BQ1A5431</t>
  </si>
  <si>
    <t>22BQ1A5432</t>
  </si>
  <si>
    <t>22BQ1A5433</t>
  </si>
  <si>
    <t>22BQ1A5434</t>
  </si>
  <si>
    <t>22BQ1A5435</t>
  </si>
  <si>
    <t>22BQ1A5436</t>
  </si>
  <si>
    <t>22BQ1A5437</t>
  </si>
  <si>
    <t>22BQ1A5438</t>
  </si>
  <si>
    <t>22BQ1A5439</t>
  </si>
  <si>
    <t>22BQ1A5440</t>
  </si>
  <si>
    <t>22BQ1A5441</t>
  </si>
  <si>
    <t>22BQ1A5442</t>
  </si>
  <si>
    <t>22BQ1A5443</t>
  </si>
  <si>
    <t>22BQ1A5444</t>
  </si>
  <si>
    <t>22BQ1A5445</t>
  </si>
  <si>
    <t>22BQ1A5446</t>
  </si>
  <si>
    <t>22BQ1A5447</t>
  </si>
  <si>
    <t>22BQ1A5448</t>
  </si>
  <si>
    <t>22BQ1A5449</t>
  </si>
  <si>
    <t>22BQ1A5450</t>
  </si>
  <si>
    <t>22BQ1A5451</t>
  </si>
  <si>
    <t>22BQ1A5452</t>
  </si>
  <si>
    <t>22BQ1A5453</t>
  </si>
  <si>
    <t>22BQ1A5454</t>
  </si>
  <si>
    <t>22BQ1A5455</t>
  </si>
  <si>
    <t>22BQ1A5456</t>
  </si>
  <si>
    <t>22BQ1A5457</t>
  </si>
  <si>
    <t>22BQ1A5458</t>
  </si>
  <si>
    <t>22BQ1A5459</t>
  </si>
  <si>
    <t>22BQ1A5460</t>
  </si>
  <si>
    <t>22BQ1A5461</t>
  </si>
  <si>
    <t>22BQ1A5462</t>
  </si>
  <si>
    <t>22BQ1A5463</t>
  </si>
  <si>
    <t>22BQ1A5464</t>
  </si>
  <si>
    <t>22BQ1A5465</t>
  </si>
  <si>
    <t>22BQ1A5466</t>
  </si>
  <si>
    <t>22BQ1A5467</t>
  </si>
  <si>
    <t>22BQ1A5468</t>
  </si>
  <si>
    <t>22BQ1A5469</t>
  </si>
  <si>
    <t>22BQ1A5470</t>
  </si>
  <si>
    <t>22BQ1A5471</t>
  </si>
  <si>
    <t>22BQ1A5472</t>
  </si>
  <si>
    <t>22BQ1A5473</t>
  </si>
  <si>
    <t>22BQ1A5474</t>
  </si>
  <si>
    <t>22BQ1A5475</t>
  </si>
  <si>
    <t>22BQ1A5476</t>
  </si>
  <si>
    <t>22BQ1A5477</t>
  </si>
  <si>
    <t>22BQ1A5478</t>
  </si>
  <si>
    <t>22BQ1A5479</t>
  </si>
  <si>
    <t>22BQ1A5480</t>
  </si>
  <si>
    <t>22BQ1A5481</t>
  </si>
  <si>
    <t>22BQ1A5482</t>
  </si>
  <si>
    <t>22BQ1A5483</t>
  </si>
  <si>
    <t>22BQ1A5484</t>
  </si>
  <si>
    <t>22BQ1A5485</t>
  </si>
  <si>
    <t>22BQ1A5486</t>
  </si>
  <si>
    <t>22BQ1A5487</t>
  </si>
  <si>
    <t>22BQ1A5488</t>
  </si>
  <si>
    <t>22BQ1A5489</t>
  </si>
  <si>
    <t>22BQ1A5490</t>
  </si>
  <si>
    <t>22BQ1A5491</t>
  </si>
  <si>
    <t>22BQ1A5492</t>
  </si>
  <si>
    <t>22BQ1A5494</t>
  </si>
  <si>
    <t>22BQ1A5495</t>
  </si>
  <si>
    <t>22BQ1A5496</t>
  </si>
  <si>
    <t>22BQ1A5497</t>
  </si>
  <si>
    <t>22BQ1A5498</t>
  </si>
  <si>
    <t>22BQ1A5499</t>
  </si>
  <si>
    <t>22BQ1A54A0</t>
  </si>
  <si>
    <t>22BQ1A54A1</t>
  </si>
  <si>
    <t>22BQ1A54A2</t>
  </si>
  <si>
    <t>22BQ1A54A3</t>
  </si>
  <si>
    <t>22BQ1A54A4</t>
  </si>
  <si>
    <t>22BQ1A54A5</t>
  </si>
  <si>
    <t>22BQ1A54A6</t>
  </si>
  <si>
    <t>22BQ1A54A7</t>
  </si>
  <si>
    <t>22BQ1A54A8</t>
  </si>
  <si>
    <t>22BQ1A54A9</t>
  </si>
  <si>
    <t>22BQ1A54B0</t>
  </si>
  <si>
    <t>22BQ1A54B1</t>
  </si>
  <si>
    <t>22BQ1A54B2</t>
  </si>
  <si>
    <t>22BQ1A54B3</t>
  </si>
  <si>
    <t>22BQ1A54B4</t>
  </si>
  <si>
    <t>22BQ1A54B5</t>
  </si>
  <si>
    <t>23BQ5A5401</t>
  </si>
  <si>
    <t>23BQ5A5402</t>
  </si>
  <si>
    <t>23BQ5A5403</t>
  </si>
  <si>
    <t>23BQ5A5404</t>
  </si>
  <si>
    <t>23BQ5A5405</t>
  </si>
  <si>
    <t>23BQ5A5406</t>
  </si>
  <si>
    <t>23BQ5A5407</t>
  </si>
  <si>
    <t>22BQ1A54B6</t>
  </si>
  <si>
    <t>22BQ1A54B7</t>
  </si>
  <si>
    <t>22BQ1A54B8</t>
  </si>
  <si>
    <t>22BQ1A54B9</t>
  </si>
  <si>
    <t>22BQ1A54C0</t>
  </si>
  <si>
    <t>22BQ1A54C1</t>
  </si>
  <si>
    <t>22BQ1A54C2</t>
  </si>
  <si>
    <t>22BQ1A54C3</t>
  </si>
  <si>
    <t>22BQ1A54C4</t>
  </si>
  <si>
    <t>22BQ1A54C5</t>
  </si>
  <si>
    <t>22BQ1A54C6</t>
  </si>
  <si>
    <t>22BQ1A54C7</t>
  </si>
  <si>
    <t>22BQ1A54C8</t>
  </si>
  <si>
    <t>22BQ1A54C9</t>
  </si>
  <si>
    <t>22BQ1A54D0</t>
  </si>
  <si>
    <t>22BQ1A54D1</t>
  </si>
  <si>
    <t>22BQ1A54D2</t>
  </si>
  <si>
    <t>22BQ1A54D3</t>
  </si>
  <si>
    <t>22BQ1A54D4</t>
  </si>
  <si>
    <t>22BQ1A54D5</t>
  </si>
  <si>
    <t>22BQ1A54D6</t>
  </si>
  <si>
    <t>22BQ1A54D7</t>
  </si>
  <si>
    <t>22BQ1A54D8</t>
  </si>
  <si>
    <t>22BQ1A54D9</t>
  </si>
  <si>
    <t>22BQ1A54E0</t>
  </si>
  <si>
    <t>22BQ1A54E1</t>
  </si>
  <si>
    <t>22BQ1A54E2</t>
  </si>
  <si>
    <t>22BQ1A54E3</t>
  </si>
  <si>
    <t>22BQ1A54E4</t>
  </si>
  <si>
    <t>22BQ1A54E5</t>
  </si>
  <si>
    <t>22BQ1A54E6</t>
  </si>
  <si>
    <t>22BQ1A54E7</t>
  </si>
  <si>
    <t>22BQ1A54E8</t>
  </si>
  <si>
    <t>22BQ1A54E9</t>
  </si>
  <si>
    <t>22BQ1A54F0</t>
  </si>
  <si>
    <t>22BQ1A54F1</t>
  </si>
  <si>
    <t>22BQ1A54F2</t>
  </si>
  <si>
    <t>22BQ1A54F3</t>
  </si>
  <si>
    <t>22BQ1A54F4</t>
  </si>
  <si>
    <t>22BQ1A54F5</t>
  </si>
  <si>
    <t>22BQ1A54F6</t>
  </si>
  <si>
    <t>22BQ1A54F7</t>
  </si>
  <si>
    <t>22BQ1A54F8</t>
  </si>
  <si>
    <t>22BQ1A54F9</t>
  </si>
  <si>
    <t>22BQ1A54G0</t>
  </si>
  <si>
    <t>22BQ1A54G1</t>
  </si>
  <si>
    <t>22BQ1A54G2</t>
  </si>
  <si>
    <t>22BQ1A54G3</t>
  </si>
  <si>
    <t>22BQ1A54G4</t>
  </si>
  <si>
    <t>22BQ1A54G5</t>
  </si>
  <si>
    <t>22BQ1A54G6</t>
  </si>
  <si>
    <t>23BQ5A5408</t>
  </si>
  <si>
    <t>23BQ5A5409</t>
  </si>
  <si>
    <t>23BQ5A5410</t>
  </si>
  <si>
    <t>23BQ5A5411</t>
  </si>
  <si>
    <t>23BQ5A5412</t>
  </si>
  <si>
    <t>23BQ5A5413</t>
  </si>
  <si>
    <t>23BQ5A5414</t>
  </si>
  <si>
    <t>23BQ5A5415</t>
  </si>
  <si>
    <t>23BQ5A5416</t>
  </si>
  <si>
    <t>23BQ5A5417</t>
  </si>
  <si>
    <t>23BQ5A5418</t>
  </si>
  <si>
    <t> </t>
  </si>
  <si>
    <t>Name of the Faculty: Mrs. K.Sandhya</t>
  </si>
  <si>
    <t>OBJECTIVE</t>
  </si>
  <si>
    <t>ASSIGNMENT(OPEN BOOK)</t>
  </si>
  <si>
    <t>SEMINAR</t>
  </si>
  <si>
    <t>TOTAL</t>
  </si>
  <si>
    <t>DESCRIPTIVE</t>
  </si>
  <si>
    <t>(X M</t>
  </si>
  <si>
    <t>(XM)</t>
  </si>
  <si>
    <t>(8M)</t>
  </si>
  <si>
    <t>(8 M)</t>
  </si>
  <si>
    <t>(4M)</t>
  </si>
  <si>
    <t>Name of the Subject: Full Stack Development</t>
  </si>
  <si>
    <t>Name of the Faculty: Mr. S. Kishore Babu</t>
  </si>
  <si>
    <t xml:space="preserve"> Section : A,B &amp;C</t>
  </si>
  <si>
    <t>30 M</t>
  </si>
  <si>
    <t>Name of the Faculty: Dr.S.Ravindra, Mr. Shakeel Ahmed</t>
  </si>
  <si>
    <t xml:space="preserve">Name of the Faculty: Mr. </t>
  </si>
  <si>
    <t xml:space="preserve"> Section :A,B&amp;C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</si>
</sst>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00206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1"/>
      <color rgb="FFFF0000"/>
      <name val="Times New Roman"/>
      <family val="1"/>
    </font>
    <font>
      <b/>
      <u/>
      <sz val="14"/>
      <color rgb="FF000000"/>
      <name val="Times New Roman"/>
      <family val="1"/>
    </font>
    <font>
      <sz val="12"/>
      <color rgb="FF000000"/>
      <name val="Calibri"/>
    </font>
    <font>
      <sz val="11"/>
      <color rgb="FF000000"/>
      <name val="Calibri"/>
    </font>
    <font>
      <b/>
      <sz val="12"/>
      <color rgb="FF000000"/>
      <name val="Times New Roman"/>
    </font>
    <font>
      <sz val="12"/>
      <color rgb="FF000000"/>
      <name val="Times New Roman"/>
    </font>
    <font>
      <sz val="12"/>
      <color theme="1"/>
      <name val="Times New Roman"/>
    </font>
    <font>
      <sz val="12"/>
      <color rgb="FF000000"/>
      <name val="Cambria"/>
      <family val="1"/>
    </font>
    <font>
      <b/>
      <sz val="12"/>
      <color rgb="FF000000"/>
      <name val="Cambria"/>
      <family val="1"/>
    </font>
    <font>
      <b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EEEFF"/>
        <bgColor rgb="FF000000"/>
      </patternFill>
    </fill>
  </fills>
  <borders count="2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999999"/>
      </left>
      <right style="thin">
        <color rgb="FF000000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thin">
        <color rgb="FF000000"/>
      </right>
      <top/>
      <bottom style="medium">
        <color rgb="FF999999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 style="medium">
        <color rgb="FF999999"/>
      </bottom>
      <diagonal/>
    </border>
    <border>
      <left/>
      <right style="medium">
        <color rgb="FF000000"/>
      </right>
      <top style="medium">
        <color rgb="FF999999"/>
      </top>
      <bottom style="medium">
        <color rgb="FF999999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7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2" borderId="12" xfId="0" applyFont="1" applyFill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8" fillId="2" borderId="11" xfId="0" applyFont="1" applyFill="1" applyBorder="1" applyAlignment="1">
      <alignment vertical="center"/>
    </xf>
    <xf numFmtId="0" fontId="8" fillId="0" borderId="1" xfId="0" quotePrefix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2" borderId="14" xfId="0" applyFont="1" applyFill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3" fillId="0" borderId="5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14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1" xfId="0" applyBorder="1"/>
    <xf numFmtId="0" fontId="1" fillId="2" borderId="11" xfId="0" applyFont="1" applyFill="1" applyBorder="1"/>
    <xf numFmtId="0" fontId="8" fillId="0" borderId="3" xfId="0" quotePrefix="1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1" xfId="0" applyFont="1" applyBorder="1"/>
    <xf numFmtId="0" fontId="1" fillId="0" borderId="15" xfId="0" applyFont="1" applyBorder="1"/>
    <xf numFmtId="0" fontId="10" fillId="0" borderId="15" xfId="0" applyFont="1" applyBorder="1"/>
    <xf numFmtId="0" fontId="1" fillId="0" borderId="12" xfId="0" applyFont="1" applyBorder="1"/>
    <xf numFmtId="0" fontId="1" fillId="0" borderId="13" xfId="0" applyFont="1" applyBorder="1"/>
    <xf numFmtId="0" fontId="5" fillId="0" borderId="13" xfId="0" applyFont="1" applyBorder="1"/>
    <xf numFmtId="0" fontId="10" fillId="0" borderId="13" xfId="0" applyFont="1" applyBorder="1"/>
    <xf numFmtId="0" fontId="8" fillId="0" borderId="13" xfId="0" applyFont="1" applyBorder="1"/>
    <xf numFmtId="0" fontId="8" fillId="0" borderId="15" xfId="0" applyFont="1" applyBorder="1"/>
    <xf numFmtId="0" fontId="16" fillId="0" borderId="5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15" xfId="0" applyFont="1" applyBorder="1"/>
    <xf numFmtId="0" fontId="17" fillId="0" borderId="13" xfId="0" applyFont="1" applyBorder="1"/>
    <xf numFmtId="0" fontId="5" fillId="0" borderId="0" xfId="0" applyFont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6" fillId="0" borderId="0" xfId="0" applyFont="1"/>
    <xf numFmtId="0" fontId="6" fillId="0" borderId="5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0" fillId="0" borderId="5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0" fillId="0" borderId="17" xfId="0" applyBorder="1"/>
    <xf numFmtId="0" fontId="9" fillId="0" borderId="14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8" fillId="2" borderId="17" xfId="0" applyFont="1" applyFill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" fontId="5" fillId="0" borderId="11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21" fillId="0" borderId="0" xfId="0" applyFont="1"/>
    <xf numFmtId="0" fontId="21" fillId="4" borderId="0" xfId="0" applyFont="1" applyFill="1"/>
    <xf numFmtId="0" fontId="5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5" xfId="0" applyFont="1" applyBorder="1" applyAlignment="1">
      <alignment vertical="center" wrapText="1"/>
    </xf>
    <xf numFmtId="0" fontId="8" fillId="0" borderId="4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1" xfId="0" quotePrefix="1" applyFont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0" fontId="11" fillId="0" borderId="5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3" xfId="0" quotePrefix="1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1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11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1" fillId="0" borderId="11" xfId="0" applyFont="1" applyBorder="1" applyAlignment="1">
      <alignment vertical="center"/>
    </xf>
    <xf numFmtId="0" fontId="8" fillId="0" borderId="11" xfId="0" quotePrefix="1" applyFont="1" applyBorder="1" applyAlignment="1">
      <alignment vertical="center"/>
    </xf>
    <xf numFmtId="0" fontId="0" fillId="0" borderId="11" xfId="0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2" fillId="3" borderId="19" xfId="0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3" borderId="20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 wrapText="1"/>
    </xf>
    <xf numFmtId="0" fontId="23" fillId="3" borderId="22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3" fillId="5" borderId="22" xfId="0" applyFont="1" applyFill="1" applyBorder="1" applyAlignment="1">
      <alignment horizontal="center" vertical="center" wrapText="1"/>
    </xf>
    <xf numFmtId="0" fontId="23" fillId="3" borderId="24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11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7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1</xdr:row>
      <xdr:rowOff>0</xdr:rowOff>
    </xdr:from>
    <xdr:to>
      <xdr:col>30</xdr:col>
      <xdr:colOff>579120</xdr:colOff>
      <xdr:row>5</xdr:row>
      <xdr:rowOff>419100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454C55FC-83C6-4CD6-9F65-3A38F237C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" y="190500"/>
          <a:ext cx="1099375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1</xdr:row>
      <xdr:rowOff>0</xdr:rowOff>
    </xdr:from>
    <xdr:to>
      <xdr:col>30</xdr:col>
      <xdr:colOff>579120</xdr:colOff>
      <xdr:row>5</xdr:row>
      <xdr:rowOff>419100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C660193-A528-4E5A-BBC4-7DCA0A947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" y="190500"/>
          <a:ext cx="1099375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1</xdr:row>
      <xdr:rowOff>0</xdr:rowOff>
    </xdr:from>
    <xdr:to>
      <xdr:col>31</xdr:col>
      <xdr:colOff>598170</xdr:colOff>
      <xdr:row>5</xdr:row>
      <xdr:rowOff>419100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847389E-80EB-45CC-AD53-496D03CE7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" y="180975"/>
          <a:ext cx="1099375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1</xdr:row>
      <xdr:rowOff>0</xdr:rowOff>
    </xdr:from>
    <xdr:to>
      <xdr:col>30</xdr:col>
      <xdr:colOff>579120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7364AA81-9E25-484B-900E-F27D13655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" y="190500"/>
          <a:ext cx="1099375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7AB33-BC81-4C6D-B892-64632DEFEE15}">
  <dimension ref="B6:Z206"/>
  <sheetViews>
    <sheetView tabSelected="1" topLeftCell="A15" zoomScaleNormal="100" workbookViewId="0">
      <selection activeCell="G6" activeCellId="1" sqref="A7 G6"/>
    </sheetView>
  </sheetViews>
  <sheetFormatPr defaultColWidth="9.109375" defaultRowHeight="15.6" x14ac:dyDescent="0.3"/>
  <cols>
    <col min="3" max="3" width="14.44140625" style="88" bestFit="1" customWidth="1"/>
    <col min="4" max="4" width="0.109375" customWidth="1"/>
    <col min="5" max="9" width="9.109375" customWidth="1"/>
    <col min="10" max="10" width="17.33203125" customWidth="1"/>
    <col min="11" max="11" width="14.5546875" customWidth="1"/>
    <col min="17" max="17" width="15.5546875" customWidth="1"/>
    <col min="18" max="18" width="12.109375" bestFit="1" customWidth="1"/>
  </cols>
  <sheetData>
    <row r="6" spans="2:26" ht="36" customHeight="1" x14ac:dyDescent="0.3">
      <c r="B6" s="1"/>
      <c r="C6" s="86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32.4" customHeight="1" x14ac:dyDescent="0.3">
      <c r="B7" s="154" t="s">
        <v>0</v>
      </c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"/>
      <c r="U7" s="1"/>
      <c r="V7" s="1"/>
      <c r="W7" s="1"/>
      <c r="X7" s="1"/>
      <c r="Y7" s="1"/>
      <c r="Z7" s="1"/>
    </row>
    <row r="8" spans="2:26" ht="22.2" customHeight="1" x14ac:dyDescent="0.3">
      <c r="B8" s="156" t="s">
        <v>1</v>
      </c>
      <c r="C8" s="156"/>
      <c r="D8" s="156"/>
      <c r="E8" s="156"/>
      <c r="F8" s="156"/>
      <c r="G8" s="156"/>
      <c r="H8" s="156"/>
      <c r="I8" s="156"/>
      <c r="J8" s="156"/>
      <c r="K8" s="156"/>
      <c r="L8" s="156" t="s">
        <v>2</v>
      </c>
      <c r="M8" s="156"/>
      <c r="N8" s="156"/>
      <c r="O8" s="156"/>
      <c r="P8" s="156"/>
      <c r="Q8" s="156"/>
      <c r="R8" s="156"/>
      <c r="S8" s="156"/>
      <c r="T8" s="1"/>
      <c r="U8" s="1"/>
      <c r="V8" s="1"/>
      <c r="W8" s="1"/>
      <c r="X8" s="1"/>
      <c r="Y8" s="1"/>
      <c r="Z8" s="1"/>
    </row>
    <row r="9" spans="2:26" ht="22.2" customHeight="1" x14ac:dyDescent="0.3">
      <c r="B9" s="157" t="s">
        <v>3</v>
      </c>
      <c r="C9" s="158"/>
      <c r="D9" s="158"/>
      <c r="E9" s="159"/>
      <c r="F9" s="157" t="s">
        <v>4</v>
      </c>
      <c r="G9" s="158"/>
      <c r="H9" s="159"/>
      <c r="I9" s="160" t="s">
        <v>5</v>
      </c>
      <c r="J9" s="161"/>
      <c r="K9" s="162"/>
      <c r="L9" s="157" t="s">
        <v>6</v>
      </c>
      <c r="M9" s="158"/>
      <c r="N9" s="158"/>
      <c r="O9" s="158"/>
      <c r="P9" s="158"/>
      <c r="Q9" s="158"/>
      <c r="R9" s="158"/>
      <c r="S9" s="159"/>
      <c r="T9" s="1"/>
      <c r="U9" s="1"/>
      <c r="V9" s="1"/>
      <c r="W9" s="1"/>
      <c r="X9" s="1"/>
      <c r="Y9" s="1"/>
      <c r="Z9" s="1"/>
    </row>
    <row r="10" spans="2:26" x14ac:dyDescent="0.3">
      <c r="B10" s="1"/>
      <c r="C10" s="87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x14ac:dyDescent="0.3">
      <c r="B11" s="152" t="s">
        <v>7</v>
      </c>
      <c r="C11" s="153" t="s">
        <v>8</v>
      </c>
      <c r="D11" s="71" t="s">
        <v>9</v>
      </c>
      <c r="E11" s="164" t="s">
        <v>10</v>
      </c>
      <c r="F11" s="164"/>
      <c r="G11" s="164"/>
      <c r="H11" s="164"/>
      <c r="I11" s="164"/>
      <c r="J11" s="164"/>
      <c r="K11" s="165" t="s">
        <v>11</v>
      </c>
      <c r="L11" s="164" t="s">
        <v>12</v>
      </c>
      <c r="M11" s="164"/>
      <c r="N11" s="164"/>
      <c r="O11" s="164"/>
      <c r="P11" s="164"/>
      <c r="Q11" s="164"/>
      <c r="R11" s="165" t="s">
        <v>13</v>
      </c>
      <c r="S11" s="165" t="s">
        <v>14</v>
      </c>
      <c r="T11" s="1"/>
      <c r="U11" s="1"/>
      <c r="V11" s="1"/>
      <c r="W11" s="1"/>
      <c r="X11" s="1"/>
      <c r="Y11" s="1"/>
      <c r="Z11" s="1"/>
    </row>
    <row r="12" spans="2:26" x14ac:dyDescent="0.3">
      <c r="B12" s="152"/>
      <c r="C12" s="153"/>
      <c r="D12" s="4">
        <v>1</v>
      </c>
      <c r="E12" s="160">
        <v>1</v>
      </c>
      <c r="F12" s="162"/>
      <c r="G12" s="160">
        <v>2</v>
      </c>
      <c r="H12" s="162"/>
      <c r="I12" s="4">
        <v>3</v>
      </c>
      <c r="J12" s="166" t="s">
        <v>15</v>
      </c>
      <c r="K12" s="165"/>
      <c r="L12" s="164"/>
      <c r="M12" s="164"/>
      <c r="N12" s="164"/>
      <c r="O12" s="164"/>
      <c r="P12" s="164"/>
      <c r="Q12" s="164"/>
      <c r="R12" s="165"/>
      <c r="S12" s="165"/>
      <c r="T12" s="1"/>
      <c r="U12" s="1"/>
      <c r="V12" s="1"/>
      <c r="W12" s="1"/>
      <c r="X12" s="1"/>
      <c r="Y12" s="1"/>
      <c r="Z12" s="1"/>
    </row>
    <row r="13" spans="2:26" ht="31.2" x14ac:dyDescent="0.3">
      <c r="B13" s="152"/>
      <c r="C13" s="153"/>
      <c r="D13" s="4" t="s">
        <v>16</v>
      </c>
      <c r="E13" s="4" t="s">
        <v>17</v>
      </c>
      <c r="F13" s="4" t="s">
        <v>18</v>
      </c>
      <c r="G13" s="4" t="s">
        <v>17</v>
      </c>
      <c r="H13" s="4" t="s">
        <v>18</v>
      </c>
      <c r="I13" s="4" t="s">
        <v>17</v>
      </c>
      <c r="J13" s="166"/>
      <c r="K13" s="165"/>
      <c r="L13" s="4" t="s">
        <v>19</v>
      </c>
      <c r="M13" s="4" t="s">
        <v>20</v>
      </c>
      <c r="N13" s="4" t="s">
        <v>21</v>
      </c>
      <c r="O13" s="4" t="s">
        <v>22</v>
      </c>
      <c r="P13" s="4">
        <v>3</v>
      </c>
      <c r="Q13" s="7" t="s">
        <v>23</v>
      </c>
      <c r="R13" s="165"/>
      <c r="S13" s="165"/>
      <c r="T13" s="1"/>
      <c r="U13" s="1"/>
      <c r="V13" s="1"/>
      <c r="W13" s="1"/>
      <c r="X13" s="1"/>
      <c r="Y13" s="1"/>
      <c r="Z13" s="1"/>
    </row>
    <row r="14" spans="2:26" ht="21.6" customHeight="1" x14ac:dyDescent="0.3">
      <c r="B14" s="152"/>
      <c r="C14" s="153"/>
      <c r="D14" s="4" t="s">
        <v>24</v>
      </c>
      <c r="E14" s="4" t="s">
        <v>25</v>
      </c>
      <c r="F14" s="4" t="s">
        <v>25</v>
      </c>
      <c r="G14" s="4" t="s">
        <v>25</v>
      </c>
      <c r="H14" s="4" t="s">
        <v>25</v>
      </c>
      <c r="I14" s="4" t="s">
        <v>25</v>
      </c>
      <c r="J14" s="5" t="s">
        <v>26</v>
      </c>
      <c r="K14" s="5" t="s">
        <v>27</v>
      </c>
      <c r="L14" s="4" t="s">
        <v>28</v>
      </c>
      <c r="M14" s="4" t="s">
        <v>28</v>
      </c>
      <c r="N14" s="4" t="s">
        <v>28</v>
      </c>
      <c r="O14" s="4" t="s">
        <v>28</v>
      </c>
      <c r="P14" s="4" t="s">
        <v>28</v>
      </c>
      <c r="Q14" s="5" t="s">
        <v>27</v>
      </c>
      <c r="R14" s="5" t="s">
        <v>29</v>
      </c>
      <c r="S14" s="5" t="s">
        <v>30</v>
      </c>
      <c r="T14" s="1"/>
      <c r="U14" s="1"/>
      <c r="V14" s="1"/>
      <c r="W14" s="1"/>
      <c r="X14" s="1"/>
      <c r="Y14" s="1"/>
      <c r="Z14" s="1"/>
    </row>
    <row r="15" spans="2:26" ht="19.2" customHeight="1" x14ac:dyDescent="0.3">
      <c r="B15" s="8">
        <v>1</v>
      </c>
      <c r="C15" s="84" t="s">
        <v>31</v>
      </c>
      <c r="D15" s="8"/>
      <c r="E15" s="74">
        <v>6</v>
      </c>
      <c r="F15" s="75">
        <v>6</v>
      </c>
      <c r="G15" s="75">
        <v>6</v>
      </c>
      <c r="H15" s="75">
        <v>6</v>
      </c>
      <c r="I15" s="75">
        <v>6</v>
      </c>
      <c r="J15" s="26">
        <f>SUM(E15, F15, G15, H15, I15)</f>
        <v>30</v>
      </c>
      <c r="K15" s="26">
        <v>16</v>
      </c>
      <c r="L15" s="78">
        <v>4</v>
      </c>
      <c r="M15" s="78">
        <v>4</v>
      </c>
      <c r="N15" s="78">
        <v>4</v>
      </c>
      <c r="O15" s="78">
        <v>4</v>
      </c>
      <c r="P15" s="78">
        <v>4</v>
      </c>
      <c r="Q15" s="26">
        <f>SUM(L15, M15, N15, O15, P15)</f>
        <v>20</v>
      </c>
      <c r="R15" s="25">
        <v>5</v>
      </c>
      <c r="S15" s="28">
        <f>SUM(J15, K15, Q15, R15)</f>
        <v>71</v>
      </c>
      <c r="T15" s="1"/>
      <c r="U15" s="1"/>
      <c r="V15" s="1"/>
      <c r="W15" s="1"/>
      <c r="X15" s="1"/>
      <c r="Y15" s="1"/>
      <c r="Z15" s="1"/>
    </row>
    <row r="16" spans="2:26" ht="19.2" customHeight="1" x14ac:dyDescent="0.3">
      <c r="B16" s="8">
        <v>2</v>
      </c>
      <c r="C16" s="83" t="s">
        <v>32</v>
      </c>
      <c r="D16" s="8"/>
      <c r="E16" s="76">
        <v>6</v>
      </c>
      <c r="F16" s="77">
        <v>5</v>
      </c>
      <c r="G16" s="77">
        <v>5</v>
      </c>
      <c r="H16" s="77">
        <v>6</v>
      </c>
      <c r="I16" s="77">
        <v>5</v>
      </c>
      <c r="J16" s="26">
        <f t="shared" ref="J16:J79" si="0">SUM(E16, F16, G16, H16, I16)</f>
        <v>27</v>
      </c>
      <c r="K16" s="26">
        <v>5</v>
      </c>
      <c r="L16" s="78">
        <v>4</v>
      </c>
      <c r="M16" s="78">
        <v>4</v>
      </c>
      <c r="N16" s="78">
        <v>4</v>
      </c>
      <c r="O16" s="78">
        <v>4</v>
      </c>
      <c r="P16" s="78">
        <v>4</v>
      </c>
      <c r="Q16" s="26">
        <f t="shared" ref="Q16:Q79" si="1">SUM(L16, M16, N16, O16, P16)</f>
        <v>20</v>
      </c>
      <c r="R16" s="25">
        <v>5</v>
      </c>
      <c r="S16" s="28">
        <f t="shared" ref="S16:S79" si="2">SUM(J16, K16, Q16, R16)</f>
        <v>57</v>
      </c>
      <c r="T16" s="1"/>
      <c r="U16" s="1"/>
    </row>
    <row r="17" spans="2:26" ht="19.2" customHeight="1" x14ac:dyDescent="0.3">
      <c r="B17" s="8">
        <v>3</v>
      </c>
      <c r="C17" s="83" t="s">
        <v>33</v>
      </c>
      <c r="D17" s="8"/>
      <c r="E17" s="76">
        <v>6</v>
      </c>
      <c r="F17" s="77">
        <v>6</v>
      </c>
      <c r="G17" s="77">
        <v>6</v>
      </c>
      <c r="H17" s="77">
        <v>6</v>
      </c>
      <c r="I17" s="77">
        <v>6</v>
      </c>
      <c r="J17" s="26">
        <f t="shared" si="0"/>
        <v>30</v>
      </c>
      <c r="K17" s="26">
        <v>8</v>
      </c>
      <c r="L17" s="78">
        <v>4</v>
      </c>
      <c r="M17" s="78">
        <v>4</v>
      </c>
      <c r="N17" s="78">
        <v>4</v>
      </c>
      <c r="O17" s="78">
        <v>4</v>
      </c>
      <c r="P17" s="78">
        <v>4</v>
      </c>
      <c r="Q17" s="26">
        <f t="shared" si="1"/>
        <v>20</v>
      </c>
      <c r="R17" s="25">
        <v>5</v>
      </c>
      <c r="S17" s="28">
        <f t="shared" si="2"/>
        <v>63</v>
      </c>
      <c r="T17" s="1"/>
      <c r="U17" s="1"/>
    </row>
    <row r="18" spans="2:26" ht="19.2" customHeight="1" x14ac:dyDescent="0.3">
      <c r="B18" s="8">
        <v>4</v>
      </c>
      <c r="C18" s="83" t="s">
        <v>34</v>
      </c>
      <c r="D18" s="8"/>
      <c r="E18" s="76">
        <v>6</v>
      </c>
      <c r="F18" s="77">
        <v>6</v>
      </c>
      <c r="G18" s="77">
        <v>6</v>
      </c>
      <c r="H18" s="77">
        <v>6</v>
      </c>
      <c r="I18" s="77">
        <v>6</v>
      </c>
      <c r="J18" s="26">
        <f t="shared" si="0"/>
        <v>30</v>
      </c>
      <c r="K18" s="26">
        <v>16</v>
      </c>
      <c r="L18" s="78">
        <v>4</v>
      </c>
      <c r="M18" s="78">
        <v>4</v>
      </c>
      <c r="N18" s="78">
        <v>4</v>
      </c>
      <c r="O18" s="78">
        <v>4</v>
      </c>
      <c r="P18" s="78">
        <v>4</v>
      </c>
      <c r="Q18" s="26">
        <f t="shared" si="1"/>
        <v>20</v>
      </c>
      <c r="R18" s="25">
        <v>5</v>
      </c>
      <c r="S18" s="28">
        <f t="shared" si="2"/>
        <v>71</v>
      </c>
      <c r="T18" s="1"/>
      <c r="U18" s="167" t="s">
        <v>35</v>
      </c>
      <c r="V18" s="167"/>
      <c r="W18" s="167"/>
      <c r="X18" s="167"/>
      <c r="Y18" s="167"/>
      <c r="Z18" s="167"/>
    </row>
    <row r="19" spans="2:26" ht="19.2" customHeight="1" x14ac:dyDescent="0.3">
      <c r="B19" s="8">
        <v>5</v>
      </c>
      <c r="C19" s="83" t="s">
        <v>36</v>
      </c>
      <c r="D19" s="8"/>
      <c r="E19" s="76">
        <v>6</v>
      </c>
      <c r="F19" s="77">
        <v>6</v>
      </c>
      <c r="G19" s="77">
        <v>6</v>
      </c>
      <c r="H19" s="77">
        <v>6</v>
      </c>
      <c r="I19" s="77">
        <v>6</v>
      </c>
      <c r="J19" s="26">
        <f t="shared" si="0"/>
        <v>30</v>
      </c>
      <c r="K19" s="26">
        <v>18</v>
      </c>
      <c r="L19" s="78">
        <v>4</v>
      </c>
      <c r="M19" s="78"/>
      <c r="N19" s="78">
        <v>4</v>
      </c>
      <c r="O19" s="78">
        <v>4</v>
      </c>
      <c r="P19" s="78">
        <v>4</v>
      </c>
      <c r="Q19" s="26">
        <f t="shared" si="1"/>
        <v>16</v>
      </c>
      <c r="R19" s="25">
        <v>5</v>
      </c>
      <c r="S19" s="28">
        <f t="shared" si="2"/>
        <v>69</v>
      </c>
      <c r="T19" s="1"/>
      <c r="U19" s="168" t="s">
        <v>37</v>
      </c>
      <c r="V19" s="169"/>
      <c r="W19" s="11" t="s">
        <v>38</v>
      </c>
      <c r="X19" s="30" t="s">
        <v>39</v>
      </c>
      <c r="Y19" s="11" t="s">
        <v>40</v>
      </c>
      <c r="Z19" s="20" t="s">
        <v>41</v>
      </c>
    </row>
    <row r="20" spans="2:26" ht="19.2" customHeight="1" x14ac:dyDescent="0.3">
      <c r="B20" s="8">
        <v>6</v>
      </c>
      <c r="C20" s="83" t="s">
        <v>42</v>
      </c>
      <c r="D20" s="8"/>
      <c r="E20" s="76">
        <v>6</v>
      </c>
      <c r="F20" s="77">
        <v>6</v>
      </c>
      <c r="G20" s="77">
        <v>5</v>
      </c>
      <c r="H20" s="77">
        <v>5</v>
      </c>
      <c r="I20" s="77">
        <v>5</v>
      </c>
      <c r="J20" s="26">
        <f t="shared" si="0"/>
        <v>27</v>
      </c>
      <c r="K20" s="26">
        <v>18</v>
      </c>
      <c r="L20" s="78">
        <v>4</v>
      </c>
      <c r="M20" s="78">
        <v>3</v>
      </c>
      <c r="N20" s="78">
        <v>3</v>
      </c>
      <c r="O20" s="78">
        <v>3</v>
      </c>
      <c r="P20" s="78">
        <v>4</v>
      </c>
      <c r="Q20" s="26">
        <f t="shared" si="1"/>
        <v>17</v>
      </c>
      <c r="R20" s="25">
        <v>5</v>
      </c>
      <c r="S20" s="28">
        <f t="shared" si="2"/>
        <v>67</v>
      </c>
      <c r="T20" s="1"/>
      <c r="U20" s="170">
        <v>1</v>
      </c>
      <c r="V20" s="10" t="s">
        <v>16</v>
      </c>
      <c r="W20" s="13"/>
      <c r="X20" s="31"/>
      <c r="Y20" s="10"/>
      <c r="Z20" s="10"/>
    </row>
    <row r="21" spans="2:26" ht="19.2" customHeight="1" x14ac:dyDescent="0.3">
      <c r="B21" s="8">
        <v>7</v>
      </c>
      <c r="C21" s="83" t="s">
        <v>43</v>
      </c>
      <c r="D21" s="8"/>
      <c r="E21" s="76">
        <v>6</v>
      </c>
      <c r="F21" s="77">
        <v>6</v>
      </c>
      <c r="G21" s="77">
        <v>5</v>
      </c>
      <c r="H21" s="77">
        <v>6</v>
      </c>
      <c r="I21" s="77">
        <v>6</v>
      </c>
      <c r="J21" s="26">
        <f t="shared" si="0"/>
        <v>29</v>
      </c>
      <c r="K21" s="26">
        <v>16</v>
      </c>
      <c r="L21" s="78">
        <v>4</v>
      </c>
      <c r="M21" s="78">
        <v>4</v>
      </c>
      <c r="N21" s="78">
        <v>4</v>
      </c>
      <c r="O21" s="78">
        <v>4</v>
      </c>
      <c r="P21" s="78">
        <v>4</v>
      </c>
      <c r="Q21" s="26">
        <f t="shared" si="1"/>
        <v>20</v>
      </c>
      <c r="R21" s="25">
        <v>5</v>
      </c>
      <c r="S21" s="28">
        <f t="shared" si="2"/>
        <v>70</v>
      </c>
      <c r="T21" s="1"/>
      <c r="U21" s="171"/>
      <c r="V21" s="10" t="s">
        <v>44</v>
      </c>
      <c r="W21" s="13"/>
      <c r="X21" s="32"/>
      <c r="Y21" s="10"/>
      <c r="Z21" s="10"/>
    </row>
    <row r="22" spans="2:26" ht="19.2" customHeight="1" x14ac:dyDescent="0.3">
      <c r="B22" s="8">
        <v>8</v>
      </c>
      <c r="C22" s="83" t="s">
        <v>45</v>
      </c>
      <c r="D22" s="8"/>
      <c r="E22" s="76">
        <v>6</v>
      </c>
      <c r="F22" s="77">
        <v>5</v>
      </c>
      <c r="G22" s="77">
        <v>6</v>
      </c>
      <c r="H22" s="77">
        <v>6</v>
      </c>
      <c r="I22" s="77">
        <v>6</v>
      </c>
      <c r="J22" s="26">
        <f t="shared" si="0"/>
        <v>29</v>
      </c>
      <c r="K22" s="26">
        <v>18</v>
      </c>
      <c r="L22" s="78">
        <v>4</v>
      </c>
      <c r="M22" s="78">
        <v>4</v>
      </c>
      <c r="N22" s="78">
        <v>4</v>
      </c>
      <c r="O22" s="78">
        <v>4</v>
      </c>
      <c r="P22" s="78">
        <v>4</v>
      </c>
      <c r="Q22" s="26">
        <f t="shared" si="1"/>
        <v>20</v>
      </c>
      <c r="R22" s="25">
        <v>5</v>
      </c>
      <c r="S22" s="28">
        <f t="shared" si="2"/>
        <v>72</v>
      </c>
      <c r="T22" s="1"/>
      <c r="U22" s="170">
        <v>2</v>
      </c>
      <c r="V22" s="10" t="s">
        <v>16</v>
      </c>
      <c r="W22" s="13"/>
      <c r="X22" s="32"/>
      <c r="Y22" s="10"/>
      <c r="Z22" s="10"/>
    </row>
    <row r="23" spans="2:26" ht="19.2" customHeight="1" x14ac:dyDescent="0.3">
      <c r="B23" s="8">
        <v>9</v>
      </c>
      <c r="C23" s="83" t="s">
        <v>46</v>
      </c>
      <c r="D23" s="8"/>
      <c r="E23" s="76">
        <v>6</v>
      </c>
      <c r="F23" s="77">
        <v>6</v>
      </c>
      <c r="G23" s="77">
        <v>6</v>
      </c>
      <c r="H23" s="77">
        <v>5</v>
      </c>
      <c r="I23" s="77">
        <v>6</v>
      </c>
      <c r="J23" s="26">
        <f t="shared" si="0"/>
        <v>29</v>
      </c>
      <c r="K23" s="26">
        <v>8</v>
      </c>
      <c r="L23" s="78">
        <v>4</v>
      </c>
      <c r="M23" s="78">
        <v>4</v>
      </c>
      <c r="N23" s="78">
        <v>4</v>
      </c>
      <c r="O23" s="78">
        <v>1</v>
      </c>
      <c r="P23" s="78">
        <v>4</v>
      </c>
      <c r="Q23" s="26">
        <f t="shared" si="1"/>
        <v>17</v>
      </c>
      <c r="R23" s="25">
        <v>5</v>
      </c>
      <c r="S23" s="28">
        <f t="shared" si="2"/>
        <v>59</v>
      </c>
      <c r="T23" s="1"/>
      <c r="U23" s="171"/>
      <c r="V23" s="10" t="s">
        <v>44</v>
      </c>
      <c r="W23" s="13"/>
      <c r="X23" s="32"/>
      <c r="Y23" s="10"/>
      <c r="Z23" s="10"/>
    </row>
    <row r="24" spans="2:26" ht="19.2" customHeight="1" x14ac:dyDescent="0.3">
      <c r="B24" s="8">
        <v>10</v>
      </c>
      <c r="C24" s="83" t="s">
        <v>47</v>
      </c>
      <c r="D24" s="8"/>
      <c r="E24" s="76">
        <v>6</v>
      </c>
      <c r="F24" s="77">
        <v>6</v>
      </c>
      <c r="G24" s="77">
        <v>6</v>
      </c>
      <c r="H24" s="77">
        <v>6</v>
      </c>
      <c r="I24" s="77">
        <v>6</v>
      </c>
      <c r="J24" s="26">
        <f t="shared" si="0"/>
        <v>30</v>
      </c>
      <c r="K24" s="26">
        <v>15</v>
      </c>
      <c r="L24" s="78">
        <v>4</v>
      </c>
      <c r="M24" s="78">
        <v>4</v>
      </c>
      <c r="N24" s="78">
        <v>4</v>
      </c>
      <c r="O24" s="78">
        <v>3</v>
      </c>
      <c r="P24" s="78">
        <v>4</v>
      </c>
      <c r="Q24" s="26">
        <f t="shared" si="1"/>
        <v>19</v>
      </c>
      <c r="R24" s="25">
        <v>5</v>
      </c>
      <c r="S24" s="28">
        <f t="shared" si="2"/>
        <v>69</v>
      </c>
      <c r="T24" s="1"/>
      <c r="U24" s="170">
        <v>3</v>
      </c>
      <c r="V24" s="10" t="s">
        <v>16</v>
      </c>
      <c r="W24" s="13"/>
      <c r="X24" s="32"/>
      <c r="Y24" s="10"/>
      <c r="Z24" s="10"/>
    </row>
    <row r="25" spans="2:26" ht="19.2" customHeight="1" x14ac:dyDescent="0.3">
      <c r="B25" s="8">
        <v>11</v>
      </c>
      <c r="C25" s="83" t="s">
        <v>48</v>
      </c>
      <c r="D25" s="8"/>
      <c r="E25" s="76">
        <v>6</v>
      </c>
      <c r="F25" s="77">
        <v>6</v>
      </c>
      <c r="G25" s="77">
        <v>6</v>
      </c>
      <c r="H25" s="77">
        <v>6</v>
      </c>
      <c r="I25" s="77">
        <v>6</v>
      </c>
      <c r="J25" s="26">
        <f t="shared" si="0"/>
        <v>30</v>
      </c>
      <c r="K25" s="26">
        <v>17</v>
      </c>
      <c r="L25" s="78">
        <v>4</v>
      </c>
      <c r="M25" s="78">
        <v>4</v>
      </c>
      <c r="N25" s="78">
        <v>4</v>
      </c>
      <c r="O25" s="78">
        <v>4</v>
      </c>
      <c r="P25" s="78">
        <v>4</v>
      </c>
      <c r="Q25" s="26">
        <f t="shared" si="1"/>
        <v>20</v>
      </c>
      <c r="R25" s="25">
        <v>5</v>
      </c>
      <c r="S25" s="28">
        <f t="shared" si="2"/>
        <v>72</v>
      </c>
      <c r="T25" s="1"/>
      <c r="U25" s="171"/>
      <c r="V25" s="10" t="s">
        <v>44</v>
      </c>
      <c r="W25" s="13"/>
      <c r="X25" s="32"/>
      <c r="Y25" s="10"/>
      <c r="Z25" s="10"/>
    </row>
    <row r="26" spans="2:26" ht="19.2" customHeight="1" x14ac:dyDescent="0.3">
      <c r="B26" s="8">
        <v>12</v>
      </c>
      <c r="C26" s="83" t="s">
        <v>49</v>
      </c>
      <c r="D26" s="8"/>
      <c r="E26" s="76">
        <v>6</v>
      </c>
      <c r="F26" s="77">
        <v>6</v>
      </c>
      <c r="G26" s="77">
        <v>6</v>
      </c>
      <c r="H26" s="77">
        <v>6</v>
      </c>
      <c r="I26" s="77">
        <v>6</v>
      </c>
      <c r="J26" s="26">
        <f t="shared" si="0"/>
        <v>30</v>
      </c>
      <c r="K26" s="26">
        <v>18</v>
      </c>
      <c r="L26" s="78">
        <v>4</v>
      </c>
      <c r="M26" s="78">
        <v>4</v>
      </c>
      <c r="N26" s="78">
        <v>4</v>
      </c>
      <c r="O26" s="78"/>
      <c r="P26" s="78">
        <v>4</v>
      </c>
      <c r="Q26" s="26">
        <f t="shared" si="1"/>
        <v>16</v>
      </c>
      <c r="R26" s="25">
        <v>5</v>
      </c>
      <c r="S26" s="28">
        <f t="shared" si="2"/>
        <v>69</v>
      </c>
      <c r="T26" s="1"/>
      <c r="U26" s="1"/>
      <c r="V26" s="1"/>
      <c r="W26" s="1"/>
      <c r="X26" s="1"/>
      <c r="Y26" s="1"/>
      <c r="Z26" s="1"/>
    </row>
    <row r="27" spans="2:26" ht="19.2" customHeight="1" x14ac:dyDescent="0.3">
      <c r="B27" s="8">
        <v>13</v>
      </c>
      <c r="C27" s="83" t="s">
        <v>50</v>
      </c>
      <c r="D27" s="8"/>
      <c r="E27" s="76">
        <v>6</v>
      </c>
      <c r="F27" s="77">
        <v>6</v>
      </c>
      <c r="G27" s="77">
        <v>6</v>
      </c>
      <c r="H27" s="77">
        <v>6</v>
      </c>
      <c r="I27" s="77">
        <v>6</v>
      </c>
      <c r="J27" s="26">
        <f t="shared" si="0"/>
        <v>30</v>
      </c>
      <c r="K27" s="26">
        <v>17</v>
      </c>
      <c r="L27" s="78">
        <v>4</v>
      </c>
      <c r="M27" s="78">
        <v>4</v>
      </c>
      <c r="N27" s="78">
        <v>4</v>
      </c>
      <c r="O27" s="78">
        <v>4</v>
      </c>
      <c r="P27" s="78">
        <v>4</v>
      </c>
      <c r="Q27" s="26">
        <f t="shared" si="1"/>
        <v>20</v>
      </c>
      <c r="R27" s="25">
        <v>5</v>
      </c>
      <c r="S27" s="28">
        <f t="shared" si="2"/>
        <v>72</v>
      </c>
      <c r="T27" s="1"/>
      <c r="U27" s="39"/>
      <c r="V27" s="163" t="s">
        <v>51</v>
      </c>
      <c r="W27" s="163"/>
      <c r="X27" s="163"/>
      <c r="Y27" s="163"/>
      <c r="Z27" s="163"/>
    </row>
    <row r="28" spans="2:26" ht="19.2" customHeight="1" x14ac:dyDescent="0.3">
      <c r="B28" s="8">
        <v>14</v>
      </c>
      <c r="C28" s="83" t="s">
        <v>52</v>
      </c>
      <c r="D28" s="8"/>
      <c r="E28" s="76">
        <v>6</v>
      </c>
      <c r="F28" s="77">
        <v>6</v>
      </c>
      <c r="G28" s="77">
        <v>5</v>
      </c>
      <c r="H28" s="77">
        <v>5</v>
      </c>
      <c r="I28" s="77">
        <v>6</v>
      </c>
      <c r="J28" s="26">
        <f t="shared" si="0"/>
        <v>28</v>
      </c>
      <c r="K28" s="26">
        <v>9</v>
      </c>
      <c r="L28" s="78">
        <v>4</v>
      </c>
      <c r="M28" s="78">
        <v>4</v>
      </c>
      <c r="N28" s="78">
        <v>4</v>
      </c>
      <c r="O28" s="78">
        <v>4</v>
      </c>
      <c r="P28" s="78">
        <v>4</v>
      </c>
      <c r="Q28" s="26">
        <f t="shared" si="1"/>
        <v>20</v>
      </c>
      <c r="R28" s="25">
        <v>5</v>
      </c>
      <c r="S28" s="28">
        <f t="shared" si="2"/>
        <v>62</v>
      </c>
      <c r="T28" s="1"/>
      <c r="V28" s="33" t="s">
        <v>37</v>
      </c>
      <c r="W28" s="34" t="s">
        <v>38</v>
      </c>
      <c r="X28" s="34" t="s">
        <v>39</v>
      </c>
      <c r="Y28" s="34" t="s">
        <v>40</v>
      </c>
      <c r="Z28" s="34" t="s">
        <v>41</v>
      </c>
    </row>
    <row r="29" spans="2:26" ht="19.2" customHeight="1" x14ac:dyDescent="0.3">
      <c r="B29" s="8">
        <v>15</v>
      </c>
      <c r="C29" s="83" t="s">
        <v>53</v>
      </c>
      <c r="D29" s="8"/>
      <c r="E29" s="76">
        <v>6</v>
      </c>
      <c r="F29" s="77">
        <v>6</v>
      </c>
      <c r="G29" s="77">
        <v>6</v>
      </c>
      <c r="H29" s="77">
        <v>6</v>
      </c>
      <c r="I29" s="77">
        <v>6</v>
      </c>
      <c r="J29" s="26">
        <f>SUM(E29, F29, G29, H29, I29)</f>
        <v>30</v>
      </c>
      <c r="K29" s="26">
        <v>19</v>
      </c>
      <c r="L29" s="78">
        <v>4</v>
      </c>
      <c r="M29" s="78"/>
      <c r="N29" s="78">
        <v>4</v>
      </c>
      <c r="O29" s="78">
        <v>4</v>
      </c>
      <c r="P29" s="78">
        <v>4</v>
      </c>
      <c r="Q29" s="26">
        <f t="shared" si="1"/>
        <v>16</v>
      </c>
      <c r="R29" s="25">
        <v>5</v>
      </c>
      <c r="S29" s="28">
        <f t="shared" si="2"/>
        <v>70</v>
      </c>
      <c r="T29" s="1"/>
      <c r="V29" s="35">
        <v>1</v>
      </c>
      <c r="W29" s="36"/>
      <c r="X29" s="29"/>
      <c r="Y29" s="29"/>
      <c r="Z29" s="36"/>
    </row>
    <row r="30" spans="2:26" ht="19.2" customHeight="1" x14ac:dyDescent="0.3">
      <c r="B30" s="8">
        <v>16</v>
      </c>
      <c r="C30" s="83" t="s">
        <v>54</v>
      </c>
      <c r="D30" s="8"/>
      <c r="E30" s="76">
        <v>6</v>
      </c>
      <c r="F30" s="77">
        <v>6</v>
      </c>
      <c r="G30" s="77">
        <v>6</v>
      </c>
      <c r="H30" s="77">
        <v>6</v>
      </c>
      <c r="I30" s="77">
        <v>6</v>
      </c>
      <c r="J30" s="26">
        <f t="shared" si="0"/>
        <v>30</v>
      </c>
      <c r="K30" s="26">
        <v>15</v>
      </c>
      <c r="L30" s="78">
        <v>4</v>
      </c>
      <c r="M30" s="78">
        <v>4</v>
      </c>
      <c r="N30" s="78">
        <v>4</v>
      </c>
      <c r="O30" s="78">
        <v>4</v>
      </c>
      <c r="P30" s="78">
        <v>4</v>
      </c>
      <c r="Q30" s="26">
        <f t="shared" si="1"/>
        <v>20</v>
      </c>
      <c r="R30" s="25">
        <v>5</v>
      </c>
      <c r="S30" s="28">
        <f t="shared" si="2"/>
        <v>70</v>
      </c>
      <c r="T30" s="1"/>
      <c r="V30" s="35">
        <v>2</v>
      </c>
      <c r="W30" s="36"/>
      <c r="X30" s="29"/>
      <c r="Y30" s="29"/>
      <c r="Z30" s="36"/>
    </row>
    <row r="31" spans="2:26" ht="19.2" customHeight="1" x14ac:dyDescent="0.3">
      <c r="B31" s="8">
        <v>17</v>
      </c>
      <c r="C31" s="83" t="s">
        <v>55</v>
      </c>
      <c r="D31" s="8"/>
      <c r="E31" s="76">
        <v>6</v>
      </c>
      <c r="F31" s="77">
        <v>6</v>
      </c>
      <c r="G31" s="77">
        <v>6</v>
      </c>
      <c r="H31" s="77">
        <v>6</v>
      </c>
      <c r="I31" s="77">
        <v>6</v>
      </c>
      <c r="J31" s="26">
        <f t="shared" si="0"/>
        <v>30</v>
      </c>
      <c r="K31" s="26">
        <v>11</v>
      </c>
      <c r="L31" s="78">
        <v>4</v>
      </c>
      <c r="M31" s="78">
        <v>4</v>
      </c>
      <c r="N31" s="78">
        <v>3</v>
      </c>
      <c r="O31" s="78">
        <v>4</v>
      </c>
      <c r="P31" s="78">
        <v>4</v>
      </c>
      <c r="Q31" s="26">
        <f t="shared" si="1"/>
        <v>19</v>
      </c>
      <c r="R31" s="25">
        <v>5</v>
      </c>
      <c r="S31" s="28">
        <f t="shared" si="2"/>
        <v>65</v>
      </c>
      <c r="T31" s="1"/>
      <c r="V31" s="35">
        <v>3</v>
      </c>
      <c r="W31" s="36"/>
      <c r="X31" s="29"/>
      <c r="Y31" s="29"/>
      <c r="Z31" s="36"/>
    </row>
    <row r="32" spans="2:26" ht="19.2" customHeight="1" x14ac:dyDescent="0.3">
      <c r="B32" s="8">
        <v>18</v>
      </c>
      <c r="C32" s="83" t="s">
        <v>56</v>
      </c>
      <c r="D32" s="8"/>
      <c r="E32" s="76">
        <v>6</v>
      </c>
      <c r="F32" s="77">
        <v>6</v>
      </c>
      <c r="G32" s="77">
        <v>6</v>
      </c>
      <c r="H32" s="77">
        <v>6</v>
      </c>
      <c r="I32" s="77">
        <v>6</v>
      </c>
      <c r="J32" s="26">
        <f t="shared" si="0"/>
        <v>30</v>
      </c>
      <c r="K32" s="26">
        <v>17</v>
      </c>
      <c r="L32" s="78">
        <v>4</v>
      </c>
      <c r="M32" s="78">
        <v>3</v>
      </c>
      <c r="N32" s="78">
        <v>4</v>
      </c>
      <c r="O32" s="78">
        <v>4</v>
      </c>
      <c r="P32" s="78">
        <v>4</v>
      </c>
      <c r="Q32" s="26">
        <f t="shared" si="1"/>
        <v>19</v>
      </c>
      <c r="R32" s="25">
        <v>5</v>
      </c>
      <c r="S32" s="28">
        <f t="shared" si="2"/>
        <v>71</v>
      </c>
      <c r="T32" s="1"/>
      <c r="U32" s="38"/>
      <c r="V32" s="38"/>
      <c r="W32" s="38"/>
      <c r="X32" s="38"/>
      <c r="Y32" s="1"/>
      <c r="Z32" s="1"/>
    </row>
    <row r="33" spans="2:26" ht="19.2" customHeight="1" x14ac:dyDescent="0.3">
      <c r="B33" s="8">
        <v>19</v>
      </c>
      <c r="C33" s="83" t="s">
        <v>57</v>
      </c>
      <c r="D33" s="8"/>
      <c r="E33" s="76">
        <v>6</v>
      </c>
      <c r="F33" s="77">
        <v>6</v>
      </c>
      <c r="G33" s="77">
        <v>6</v>
      </c>
      <c r="H33" s="77">
        <v>6</v>
      </c>
      <c r="I33" s="77">
        <v>6</v>
      </c>
      <c r="J33" s="26">
        <f>SUM(E33, F33, G33, H33, I33)</f>
        <v>30</v>
      </c>
      <c r="K33" s="26">
        <v>19</v>
      </c>
      <c r="L33" s="78">
        <v>4</v>
      </c>
      <c r="M33" s="78">
        <v>4</v>
      </c>
      <c r="N33" s="78">
        <v>4</v>
      </c>
      <c r="O33" s="78">
        <v>4</v>
      </c>
      <c r="P33" s="78">
        <v>4</v>
      </c>
      <c r="Q33" s="26">
        <f t="shared" si="1"/>
        <v>20</v>
      </c>
      <c r="R33" s="25">
        <v>5</v>
      </c>
      <c r="S33" s="28">
        <f t="shared" si="2"/>
        <v>74</v>
      </c>
      <c r="T33" s="1"/>
      <c r="U33" s="37"/>
      <c r="V33" s="2"/>
      <c r="W33" s="2"/>
      <c r="X33" s="2"/>
      <c r="Y33" s="1"/>
      <c r="Z33" s="1"/>
    </row>
    <row r="34" spans="2:26" ht="19.2" customHeight="1" x14ac:dyDescent="0.3">
      <c r="B34" s="8">
        <v>20</v>
      </c>
      <c r="C34" s="83" t="s">
        <v>58</v>
      </c>
      <c r="D34" s="8"/>
      <c r="E34" s="76">
        <v>6</v>
      </c>
      <c r="F34" s="77">
        <v>6</v>
      </c>
      <c r="G34" s="77">
        <v>6</v>
      </c>
      <c r="H34" s="77">
        <v>6</v>
      </c>
      <c r="I34" s="77">
        <v>6</v>
      </c>
      <c r="J34" s="26">
        <f t="shared" si="0"/>
        <v>30</v>
      </c>
      <c r="K34" s="26">
        <v>16</v>
      </c>
      <c r="L34" s="78">
        <v>4</v>
      </c>
      <c r="M34" s="78">
        <v>4</v>
      </c>
      <c r="N34" s="78">
        <v>4</v>
      </c>
      <c r="O34" s="78">
        <v>4</v>
      </c>
      <c r="P34" s="78">
        <v>4</v>
      </c>
      <c r="Q34" s="26">
        <f t="shared" si="1"/>
        <v>20</v>
      </c>
      <c r="R34" s="25">
        <v>5</v>
      </c>
      <c r="S34" s="28">
        <f t="shared" si="2"/>
        <v>71</v>
      </c>
      <c r="T34" s="1"/>
      <c r="U34" s="3"/>
      <c r="V34" s="1"/>
      <c r="W34" s="1"/>
      <c r="X34" s="1"/>
      <c r="Y34" s="1"/>
      <c r="Z34" s="1"/>
    </row>
    <row r="35" spans="2:26" ht="19.2" customHeight="1" x14ac:dyDescent="0.3">
      <c r="B35" s="8">
        <v>21</v>
      </c>
      <c r="C35" s="83" t="s">
        <v>59</v>
      </c>
      <c r="D35" s="8"/>
      <c r="E35" s="76">
        <v>6</v>
      </c>
      <c r="F35" s="77">
        <v>6</v>
      </c>
      <c r="G35" s="77">
        <v>6</v>
      </c>
      <c r="H35" s="77">
        <v>6</v>
      </c>
      <c r="I35" s="77">
        <v>6</v>
      </c>
      <c r="J35" s="26">
        <f t="shared" si="0"/>
        <v>30</v>
      </c>
      <c r="K35" s="26">
        <v>15</v>
      </c>
      <c r="L35" s="78">
        <v>4</v>
      </c>
      <c r="M35" s="78">
        <v>4</v>
      </c>
      <c r="N35" s="78">
        <v>4</v>
      </c>
      <c r="O35" s="78">
        <v>4</v>
      </c>
      <c r="P35" s="78">
        <v>4</v>
      </c>
      <c r="Q35" s="26">
        <f t="shared" si="1"/>
        <v>20</v>
      </c>
      <c r="R35" s="25">
        <v>5</v>
      </c>
      <c r="S35" s="28">
        <f t="shared" si="2"/>
        <v>70</v>
      </c>
      <c r="T35" s="1"/>
      <c r="U35" s="1"/>
      <c r="V35" s="1"/>
      <c r="W35" s="1"/>
      <c r="X35" s="1"/>
      <c r="Y35" s="1"/>
      <c r="Z35" s="1"/>
    </row>
    <row r="36" spans="2:26" ht="19.2" customHeight="1" x14ac:dyDescent="0.3">
      <c r="B36" s="8">
        <v>22</v>
      </c>
      <c r="C36" s="83" t="s">
        <v>60</v>
      </c>
      <c r="D36" s="8"/>
      <c r="E36" s="76">
        <v>6</v>
      </c>
      <c r="F36" s="77">
        <v>6</v>
      </c>
      <c r="G36" s="77">
        <v>6</v>
      </c>
      <c r="H36" s="77">
        <v>6</v>
      </c>
      <c r="I36" s="77">
        <v>6</v>
      </c>
      <c r="J36" s="26">
        <f t="shared" si="0"/>
        <v>30</v>
      </c>
      <c r="K36" s="26">
        <v>17</v>
      </c>
      <c r="L36" s="78">
        <v>4</v>
      </c>
      <c r="M36" s="78">
        <v>4</v>
      </c>
      <c r="N36" s="78">
        <v>4</v>
      </c>
      <c r="O36" s="78">
        <v>4</v>
      </c>
      <c r="P36" s="78">
        <v>3</v>
      </c>
      <c r="Q36" s="26">
        <f t="shared" si="1"/>
        <v>19</v>
      </c>
      <c r="R36" s="25">
        <v>5</v>
      </c>
      <c r="S36" s="28">
        <f t="shared" si="2"/>
        <v>71</v>
      </c>
      <c r="T36" s="1"/>
      <c r="U36" s="1"/>
      <c r="V36" s="1"/>
      <c r="W36" s="1"/>
      <c r="X36" s="1"/>
      <c r="Y36" s="1"/>
      <c r="Z36" s="1"/>
    </row>
    <row r="37" spans="2:26" ht="19.2" customHeight="1" x14ac:dyDescent="0.3">
      <c r="B37" s="8">
        <v>23</v>
      </c>
      <c r="C37" s="83" t="s">
        <v>61</v>
      </c>
      <c r="D37" s="8"/>
      <c r="E37" s="76">
        <v>6</v>
      </c>
      <c r="F37" s="77">
        <v>6</v>
      </c>
      <c r="G37" s="77">
        <v>6</v>
      </c>
      <c r="H37" s="77">
        <v>6</v>
      </c>
      <c r="I37" s="77">
        <v>6</v>
      </c>
      <c r="J37" s="26">
        <f t="shared" si="0"/>
        <v>30</v>
      </c>
      <c r="K37" s="26">
        <v>15</v>
      </c>
      <c r="L37" s="78">
        <v>4</v>
      </c>
      <c r="M37" s="78">
        <v>4</v>
      </c>
      <c r="N37" s="78">
        <v>4</v>
      </c>
      <c r="O37" s="78">
        <v>4</v>
      </c>
      <c r="P37" s="78">
        <v>4</v>
      </c>
      <c r="Q37" s="26">
        <f t="shared" si="1"/>
        <v>20</v>
      </c>
      <c r="R37" s="25">
        <v>5</v>
      </c>
      <c r="S37" s="28">
        <f t="shared" si="2"/>
        <v>70</v>
      </c>
      <c r="T37" s="1"/>
      <c r="U37" s="1"/>
      <c r="V37" s="1"/>
      <c r="W37" s="1"/>
      <c r="X37" s="1"/>
      <c r="Y37" s="1"/>
      <c r="Z37" s="1"/>
    </row>
    <row r="38" spans="2:26" ht="19.2" customHeight="1" x14ac:dyDescent="0.3">
      <c r="B38" s="8">
        <v>24</v>
      </c>
      <c r="C38" s="83" t="s">
        <v>62</v>
      </c>
      <c r="D38" s="8"/>
      <c r="E38" s="76">
        <v>6</v>
      </c>
      <c r="F38" s="77">
        <v>6</v>
      </c>
      <c r="G38" s="77">
        <v>6</v>
      </c>
      <c r="H38" s="77">
        <v>6</v>
      </c>
      <c r="I38" s="77">
        <v>6</v>
      </c>
      <c r="J38" s="26">
        <f t="shared" si="0"/>
        <v>30</v>
      </c>
      <c r="K38" s="26">
        <v>18</v>
      </c>
      <c r="L38" s="78">
        <v>4</v>
      </c>
      <c r="M38" s="78">
        <v>4</v>
      </c>
      <c r="N38" s="78">
        <v>3</v>
      </c>
      <c r="O38" s="78">
        <v>4</v>
      </c>
      <c r="P38" s="78">
        <v>4</v>
      </c>
      <c r="Q38" s="26">
        <f t="shared" si="1"/>
        <v>19</v>
      </c>
      <c r="R38" s="25">
        <v>5</v>
      </c>
      <c r="S38" s="28">
        <f t="shared" si="2"/>
        <v>72</v>
      </c>
      <c r="T38" s="1"/>
      <c r="U38" s="1"/>
      <c r="V38" s="1"/>
      <c r="W38" s="1"/>
      <c r="X38" s="1"/>
      <c r="Y38" s="1"/>
      <c r="Z38" s="1"/>
    </row>
    <row r="39" spans="2:26" ht="19.2" customHeight="1" x14ac:dyDescent="0.3">
      <c r="B39" s="8">
        <v>25</v>
      </c>
      <c r="C39" s="83" t="s">
        <v>63</v>
      </c>
      <c r="D39" s="8"/>
      <c r="E39" s="76">
        <v>6</v>
      </c>
      <c r="F39" s="77">
        <v>6</v>
      </c>
      <c r="G39" s="77">
        <v>5</v>
      </c>
      <c r="H39" s="77">
        <v>5</v>
      </c>
      <c r="I39" s="77">
        <v>5</v>
      </c>
      <c r="J39" s="26">
        <f t="shared" si="0"/>
        <v>27</v>
      </c>
      <c r="K39" s="26">
        <v>15</v>
      </c>
      <c r="L39" s="78">
        <v>4</v>
      </c>
      <c r="M39" s="78">
        <v>4</v>
      </c>
      <c r="N39" s="78">
        <v>3</v>
      </c>
      <c r="O39" s="78">
        <v>3</v>
      </c>
      <c r="P39" s="78">
        <v>4</v>
      </c>
      <c r="Q39" s="26">
        <f t="shared" si="1"/>
        <v>18</v>
      </c>
      <c r="R39" s="25">
        <v>5</v>
      </c>
      <c r="S39" s="28">
        <f t="shared" si="2"/>
        <v>65</v>
      </c>
      <c r="T39" s="1"/>
      <c r="U39" s="1"/>
      <c r="V39" s="1"/>
      <c r="W39" s="1"/>
      <c r="X39" s="1"/>
      <c r="Y39" s="1"/>
      <c r="Z39" s="1"/>
    </row>
    <row r="40" spans="2:26" ht="19.2" customHeight="1" x14ac:dyDescent="0.3">
      <c r="B40" s="8">
        <v>26</v>
      </c>
      <c r="C40" s="83" t="s">
        <v>64</v>
      </c>
      <c r="D40" s="8"/>
      <c r="E40" s="76">
        <v>6</v>
      </c>
      <c r="F40" s="77">
        <v>6</v>
      </c>
      <c r="G40" s="77">
        <v>6</v>
      </c>
      <c r="H40" s="77">
        <v>6</v>
      </c>
      <c r="I40" s="77">
        <v>6</v>
      </c>
      <c r="J40" s="26">
        <f t="shared" si="0"/>
        <v>30</v>
      </c>
      <c r="K40" s="26">
        <v>15</v>
      </c>
      <c r="L40" s="78">
        <v>4</v>
      </c>
      <c r="M40" s="78">
        <v>4</v>
      </c>
      <c r="N40" s="78">
        <v>4</v>
      </c>
      <c r="O40" s="78">
        <v>4</v>
      </c>
      <c r="P40" s="78">
        <v>4</v>
      </c>
      <c r="Q40" s="26">
        <f t="shared" si="1"/>
        <v>20</v>
      </c>
      <c r="R40" s="25">
        <v>5</v>
      </c>
      <c r="S40" s="28">
        <f t="shared" si="2"/>
        <v>70</v>
      </c>
      <c r="T40" s="1"/>
      <c r="U40" s="1"/>
      <c r="V40" s="1"/>
      <c r="W40" s="1"/>
      <c r="X40" s="1"/>
      <c r="Y40" s="1"/>
      <c r="Z40" s="1"/>
    </row>
    <row r="41" spans="2:26" ht="19.2" customHeight="1" x14ac:dyDescent="0.3">
      <c r="B41" s="8">
        <v>27</v>
      </c>
      <c r="C41" s="83" t="s">
        <v>65</v>
      </c>
      <c r="D41" s="8"/>
      <c r="E41" s="76">
        <v>6</v>
      </c>
      <c r="F41" s="77">
        <v>6</v>
      </c>
      <c r="G41" s="77">
        <v>6</v>
      </c>
      <c r="H41" s="77">
        <v>6</v>
      </c>
      <c r="I41" s="77">
        <v>6</v>
      </c>
      <c r="J41" s="26">
        <f t="shared" si="0"/>
        <v>30</v>
      </c>
      <c r="K41" s="26">
        <v>17</v>
      </c>
      <c r="L41" s="78">
        <v>4</v>
      </c>
      <c r="M41" s="78">
        <v>4</v>
      </c>
      <c r="N41" s="78">
        <v>4</v>
      </c>
      <c r="O41" s="78">
        <v>4</v>
      </c>
      <c r="P41" s="78">
        <v>4</v>
      </c>
      <c r="Q41" s="26">
        <f t="shared" si="1"/>
        <v>20</v>
      </c>
      <c r="R41" s="25">
        <v>5</v>
      </c>
      <c r="S41" s="28">
        <f t="shared" si="2"/>
        <v>72</v>
      </c>
      <c r="T41" s="1"/>
      <c r="U41" s="1"/>
      <c r="V41" s="1"/>
      <c r="W41" s="1"/>
      <c r="X41" s="1"/>
      <c r="Y41" s="1"/>
      <c r="Z41" s="1"/>
    </row>
    <row r="42" spans="2:26" ht="19.2" customHeight="1" x14ac:dyDescent="0.3">
      <c r="B42" s="8">
        <v>28</v>
      </c>
      <c r="C42" s="83" t="s">
        <v>66</v>
      </c>
      <c r="D42" s="8"/>
      <c r="E42" s="76">
        <v>6</v>
      </c>
      <c r="F42" s="77">
        <v>6</v>
      </c>
      <c r="G42" s="77">
        <v>6</v>
      </c>
      <c r="H42" s="77">
        <v>6</v>
      </c>
      <c r="I42" s="77">
        <v>6</v>
      </c>
      <c r="J42" s="26">
        <f t="shared" si="0"/>
        <v>30</v>
      </c>
      <c r="K42" s="26">
        <v>17</v>
      </c>
      <c r="L42" s="78">
        <v>4</v>
      </c>
      <c r="M42" s="78">
        <v>4</v>
      </c>
      <c r="N42" s="78">
        <v>4</v>
      </c>
      <c r="O42" s="78">
        <v>4</v>
      </c>
      <c r="P42" s="78">
        <v>4</v>
      </c>
      <c r="Q42" s="26">
        <f t="shared" si="1"/>
        <v>20</v>
      </c>
      <c r="R42" s="25">
        <v>5</v>
      </c>
      <c r="S42" s="28">
        <f t="shared" si="2"/>
        <v>72</v>
      </c>
      <c r="T42" s="1"/>
      <c r="U42" s="1"/>
      <c r="V42" s="1"/>
      <c r="W42" s="1"/>
      <c r="X42" s="1"/>
      <c r="Y42" s="1"/>
      <c r="Z42" s="1"/>
    </row>
    <row r="43" spans="2:26" ht="19.2" customHeight="1" x14ac:dyDescent="0.3">
      <c r="B43" s="8">
        <v>29</v>
      </c>
      <c r="C43" s="83" t="s">
        <v>67</v>
      </c>
      <c r="D43" s="8"/>
      <c r="E43" s="76">
        <v>6</v>
      </c>
      <c r="F43" s="77">
        <v>6</v>
      </c>
      <c r="G43" s="77">
        <v>6</v>
      </c>
      <c r="H43" s="77">
        <v>6</v>
      </c>
      <c r="I43" s="77">
        <v>6</v>
      </c>
      <c r="J43" s="26">
        <f t="shared" si="0"/>
        <v>30</v>
      </c>
      <c r="K43" s="26">
        <v>11</v>
      </c>
      <c r="L43" s="78">
        <v>4</v>
      </c>
      <c r="M43" s="78">
        <v>4</v>
      </c>
      <c r="N43" s="78">
        <v>3</v>
      </c>
      <c r="O43" s="78">
        <v>4</v>
      </c>
      <c r="P43" s="78">
        <v>4</v>
      </c>
      <c r="Q43" s="26">
        <f t="shared" si="1"/>
        <v>19</v>
      </c>
      <c r="R43" s="25">
        <v>5</v>
      </c>
      <c r="S43" s="28">
        <f t="shared" si="2"/>
        <v>65</v>
      </c>
      <c r="T43" s="1"/>
      <c r="U43" s="1"/>
      <c r="V43" s="1"/>
      <c r="W43" s="1"/>
      <c r="X43" s="1"/>
      <c r="Y43" s="1"/>
      <c r="Z43" s="1"/>
    </row>
    <row r="44" spans="2:26" ht="19.2" customHeight="1" x14ac:dyDescent="0.3">
      <c r="B44" s="8">
        <v>30</v>
      </c>
      <c r="C44" s="83" t="s">
        <v>68</v>
      </c>
      <c r="D44" s="8"/>
      <c r="E44" s="76">
        <v>6</v>
      </c>
      <c r="F44" s="77">
        <v>6</v>
      </c>
      <c r="G44" s="77">
        <v>6</v>
      </c>
      <c r="H44" s="77">
        <v>6</v>
      </c>
      <c r="I44" s="77">
        <v>6</v>
      </c>
      <c r="J44" s="26">
        <f t="shared" si="0"/>
        <v>30</v>
      </c>
      <c r="K44" s="26">
        <v>10</v>
      </c>
      <c r="L44" s="78">
        <v>4</v>
      </c>
      <c r="M44" s="78">
        <v>4</v>
      </c>
      <c r="N44" s="78">
        <v>3</v>
      </c>
      <c r="O44" s="78">
        <v>4</v>
      </c>
      <c r="P44" s="78">
        <v>4</v>
      </c>
      <c r="Q44" s="26">
        <f t="shared" si="1"/>
        <v>19</v>
      </c>
      <c r="R44" s="25">
        <v>5</v>
      </c>
      <c r="S44" s="28">
        <f t="shared" si="2"/>
        <v>64</v>
      </c>
      <c r="T44" s="1"/>
      <c r="U44" s="1"/>
      <c r="V44" s="1"/>
      <c r="W44" s="1"/>
      <c r="X44" s="1"/>
      <c r="Y44" s="1"/>
      <c r="Z44" s="1"/>
    </row>
    <row r="45" spans="2:26" ht="19.2" customHeight="1" x14ac:dyDescent="0.3">
      <c r="B45" s="8">
        <v>31</v>
      </c>
      <c r="C45" s="83" t="s">
        <v>69</v>
      </c>
      <c r="D45" s="8"/>
      <c r="E45" s="76">
        <v>6</v>
      </c>
      <c r="F45" s="77">
        <v>6</v>
      </c>
      <c r="G45" s="77">
        <v>6</v>
      </c>
      <c r="H45" s="77">
        <v>6</v>
      </c>
      <c r="I45" s="77">
        <v>6</v>
      </c>
      <c r="J45" s="26">
        <f t="shared" si="0"/>
        <v>30</v>
      </c>
      <c r="K45" s="26">
        <v>16</v>
      </c>
      <c r="L45" s="78">
        <v>4</v>
      </c>
      <c r="M45" s="78">
        <v>4</v>
      </c>
      <c r="N45" s="78">
        <v>4</v>
      </c>
      <c r="O45" s="78">
        <v>4</v>
      </c>
      <c r="P45" s="78">
        <v>4</v>
      </c>
      <c r="Q45" s="26">
        <f t="shared" si="1"/>
        <v>20</v>
      </c>
      <c r="R45" s="25">
        <v>5</v>
      </c>
      <c r="S45" s="28">
        <f t="shared" si="2"/>
        <v>71</v>
      </c>
      <c r="T45" s="1"/>
      <c r="U45" s="1"/>
      <c r="V45" s="1"/>
      <c r="W45" s="1"/>
      <c r="X45" s="1"/>
      <c r="Y45" s="1"/>
      <c r="Z45" s="1"/>
    </row>
    <row r="46" spans="2:26" ht="19.2" customHeight="1" x14ac:dyDescent="0.3">
      <c r="B46" s="8">
        <v>32</v>
      </c>
      <c r="C46" s="83" t="s">
        <v>70</v>
      </c>
      <c r="D46" s="8"/>
      <c r="E46" s="76">
        <v>6</v>
      </c>
      <c r="F46" s="77">
        <v>6</v>
      </c>
      <c r="G46" s="77">
        <v>6</v>
      </c>
      <c r="H46" s="77">
        <v>6</v>
      </c>
      <c r="I46" s="77">
        <v>6</v>
      </c>
      <c r="J46" s="26">
        <f t="shared" si="0"/>
        <v>30</v>
      </c>
      <c r="K46" s="26">
        <v>17</v>
      </c>
      <c r="L46" s="78">
        <v>4</v>
      </c>
      <c r="M46" s="78">
        <v>4</v>
      </c>
      <c r="N46" s="78">
        <v>4</v>
      </c>
      <c r="O46" s="78">
        <v>4</v>
      </c>
      <c r="P46" s="78">
        <v>4</v>
      </c>
      <c r="Q46" s="26">
        <f t="shared" si="1"/>
        <v>20</v>
      </c>
      <c r="R46" s="25">
        <v>5</v>
      </c>
      <c r="S46" s="28">
        <f t="shared" si="2"/>
        <v>72</v>
      </c>
      <c r="T46" s="1"/>
      <c r="U46" s="1"/>
      <c r="V46" s="1"/>
      <c r="W46" s="1"/>
      <c r="X46" s="1"/>
      <c r="Y46" s="1"/>
      <c r="Z46" s="1"/>
    </row>
    <row r="47" spans="2:26" ht="19.2" customHeight="1" x14ac:dyDescent="0.3">
      <c r="B47" s="8">
        <v>33</v>
      </c>
      <c r="C47" s="83" t="s">
        <v>71</v>
      </c>
      <c r="D47" s="8"/>
      <c r="E47" s="76">
        <v>6</v>
      </c>
      <c r="F47" s="77">
        <v>6</v>
      </c>
      <c r="G47" s="77">
        <v>6</v>
      </c>
      <c r="H47" s="77">
        <v>6</v>
      </c>
      <c r="I47" s="77">
        <v>6</v>
      </c>
      <c r="J47" s="26">
        <f t="shared" si="0"/>
        <v>30</v>
      </c>
      <c r="K47" s="26">
        <v>16</v>
      </c>
      <c r="L47" s="78">
        <v>4</v>
      </c>
      <c r="M47" s="78">
        <v>4</v>
      </c>
      <c r="N47" s="78">
        <v>4</v>
      </c>
      <c r="O47" s="78">
        <v>4</v>
      </c>
      <c r="P47" s="78">
        <v>4</v>
      </c>
      <c r="Q47" s="26">
        <f t="shared" si="1"/>
        <v>20</v>
      </c>
      <c r="R47" s="25">
        <v>5</v>
      </c>
      <c r="S47" s="28">
        <f t="shared" si="2"/>
        <v>71</v>
      </c>
      <c r="T47" s="1"/>
      <c r="U47" s="1"/>
      <c r="V47" s="1"/>
      <c r="W47" s="1"/>
      <c r="X47" s="1"/>
      <c r="Y47" s="1"/>
      <c r="Z47" s="1"/>
    </row>
    <row r="48" spans="2:26" ht="19.2" customHeight="1" x14ac:dyDescent="0.3">
      <c r="B48" s="8">
        <v>34</v>
      </c>
      <c r="C48" s="83" t="s">
        <v>72</v>
      </c>
      <c r="D48" s="8"/>
      <c r="E48" s="76">
        <v>6</v>
      </c>
      <c r="F48" s="77">
        <v>6</v>
      </c>
      <c r="G48" s="77">
        <v>5</v>
      </c>
      <c r="H48" s="77">
        <v>5</v>
      </c>
      <c r="I48" s="77">
        <v>6</v>
      </c>
      <c r="J48" s="26">
        <f t="shared" si="0"/>
        <v>28</v>
      </c>
      <c r="K48" s="26">
        <v>19</v>
      </c>
      <c r="L48" s="78">
        <v>3</v>
      </c>
      <c r="M48" s="78">
        <v>4</v>
      </c>
      <c r="N48" s="78">
        <v>3</v>
      </c>
      <c r="O48" s="78">
        <v>4</v>
      </c>
      <c r="P48" s="78">
        <v>4</v>
      </c>
      <c r="Q48" s="26">
        <f t="shared" si="1"/>
        <v>18</v>
      </c>
      <c r="R48" s="25">
        <v>5</v>
      </c>
      <c r="S48" s="28">
        <f t="shared" si="2"/>
        <v>70</v>
      </c>
      <c r="T48" s="1"/>
      <c r="U48" s="1"/>
      <c r="V48" s="1"/>
      <c r="W48" s="1"/>
      <c r="X48" s="1"/>
      <c r="Y48" s="1"/>
      <c r="Z48" s="1"/>
    </row>
    <row r="49" spans="2:26" ht="19.2" customHeight="1" x14ac:dyDescent="0.3">
      <c r="B49" s="8">
        <v>35</v>
      </c>
      <c r="C49" s="83" t="s">
        <v>73</v>
      </c>
      <c r="D49" s="8"/>
      <c r="E49" s="76">
        <v>6</v>
      </c>
      <c r="F49" s="77">
        <v>5</v>
      </c>
      <c r="G49" s="77">
        <v>6</v>
      </c>
      <c r="H49" s="77">
        <v>5</v>
      </c>
      <c r="I49" s="77">
        <v>6</v>
      </c>
      <c r="J49" s="26">
        <f t="shared" si="0"/>
        <v>28</v>
      </c>
      <c r="K49" s="26">
        <v>16</v>
      </c>
      <c r="L49" s="78">
        <v>4</v>
      </c>
      <c r="M49" s="78">
        <v>4</v>
      </c>
      <c r="N49" s="78">
        <v>4</v>
      </c>
      <c r="O49" s="78">
        <v>4</v>
      </c>
      <c r="P49" s="78">
        <v>4</v>
      </c>
      <c r="Q49" s="26">
        <f t="shared" si="1"/>
        <v>20</v>
      </c>
      <c r="R49" s="25">
        <v>5</v>
      </c>
      <c r="S49" s="28">
        <f t="shared" si="2"/>
        <v>69</v>
      </c>
      <c r="T49" s="1"/>
      <c r="U49" s="1"/>
      <c r="V49" s="1"/>
      <c r="W49" s="1"/>
      <c r="X49" s="1"/>
      <c r="Y49" s="1"/>
      <c r="Z49" s="1"/>
    </row>
    <row r="50" spans="2:26" ht="19.2" customHeight="1" x14ac:dyDescent="0.3">
      <c r="B50" s="8">
        <v>36</v>
      </c>
      <c r="C50" s="83" t="s">
        <v>74</v>
      </c>
      <c r="D50" s="8"/>
      <c r="E50" s="76">
        <v>6</v>
      </c>
      <c r="F50" s="77">
        <v>5</v>
      </c>
      <c r="G50" s="77">
        <v>5</v>
      </c>
      <c r="H50" s="77">
        <v>5</v>
      </c>
      <c r="I50" s="77">
        <v>6</v>
      </c>
      <c r="J50" s="26">
        <f t="shared" si="0"/>
        <v>27</v>
      </c>
      <c r="K50" s="26">
        <v>14</v>
      </c>
      <c r="L50" s="78">
        <v>4</v>
      </c>
      <c r="M50" s="78">
        <v>4</v>
      </c>
      <c r="N50" s="78">
        <v>3</v>
      </c>
      <c r="O50" s="78">
        <v>3</v>
      </c>
      <c r="P50" s="78">
        <v>3</v>
      </c>
      <c r="Q50" s="26">
        <f t="shared" si="1"/>
        <v>17</v>
      </c>
      <c r="R50" s="25">
        <v>5</v>
      </c>
      <c r="S50" s="28">
        <f t="shared" si="2"/>
        <v>63</v>
      </c>
      <c r="T50" s="1"/>
      <c r="U50" s="1"/>
      <c r="V50" s="1"/>
      <c r="W50" s="1"/>
      <c r="X50" s="1"/>
      <c r="Y50" s="1"/>
      <c r="Z50" s="1"/>
    </row>
    <row r="51" spans="2:26" ht="19.2" customHeight="1" x14ac:dyDescent="0.3">
      <c r="B51" s="8">
        <v>37</v>
      </c>
      <c r="C51" s="83" t="s">
        <v>75</v>
      </c>
      <c r="D51" s="8"/>
      <c r="E51" s="76">
        <v>6</v>
      </c>
      <c r="F51" s="77">
        <v>6</v>
      </c>
      <c r="G51" s="77">
        <v>6</v>
      </c>
      <c r="H51" s="77">
        <v>6</v>
      </c>
      <c r="I51" s="77">
        <v>6</v>
      </c>
      <c r="J51" s="26">
        <f t="shared" si="0"/>
        <v>30</v>
      </c>
      <c r="K51" s="26">
        <v>18</v>
      </c>
      <c r="L51" s="78">
        <v>3</v>
      </c>
      <c r="M51" s="78">
        <v>4</v>
      </c>
      <c r="N51" s="78">
        <v>4</v>
      </c>
      <c r="O51" s="78">
        <v>4</v>
      </c>
      <c r="P51" s="78">
        <v>4</v>
      </c>
      <c r="Q51" s="26">
        <f t="shared" si="1"/>
        <v>19</v>
      </c>
      <c r="R51" s="25">
        <v>5</v>
      </c>
      <c r="S51" s="28">
        <f t="shared" si="2"/>
        <v>72</v>
      </c>
      <c r="T51" s="1"/>
      <c r="U51" s="1"/>
      <c r="V51" s="1"/>
      <c r="W51" s="1"/>
      <c r="X51" s="1"/>
      <c r="Y51" s="1"/>
      <c r="Z51" s="1"/>
    </row>
    <row r="52" spans="2:26" ht="19.2" customHeight="1" x14ac:dyDescent="0.3">
      <c r="B52" s="8">
        <v>38</v>
      </c>
      <c r="C52" s="83" t="s">
        <v>76</v>
      </c>
      <c r="D52" s="8"/>
      <c r="E52" s="76">
        <v>5</v>
      </c>
      <c r="F52" s="77">
        <v>6</v>
      </c>
      <c r="G52" s="77">
        <v>6</v>
      </c>
      <c r="H52" s="77">
        <v>5</v>
      </c>
      <c r="I52" s="77">
        <v>6</v>
      </c>
      <c r="J52" s="26">
        <f t="shared" si="0"/>
        <v>28</v>
      </c>
      <c r="K52" s="26">
        <v>17</v>
      </c>
      <c r="L52" s="78">
        <v>3</v>
      </c>
      <c r="M52" s="78">
        <v>3</v>
      </c>
      <c r="N52" s="78">
        <v>4</v>
      </c>
      <c r="O52" s="78">
        <v>4</v>
      </c>
      <c r="P52" s="78">
        <v>4</v>
      </c>
      <c r="Q52" s="26">
        <f t="shared" si="1"/>
        <v>18</v>
      </c>
      <c r="R52" s="25">
        <v>5</v>
      </c>
      <c r="S52" s="28">
        <f t="shared" si="2"/>
        <v>68</v>
      </c>
      <c r="T52" s="1"/>
      <c r="U52" s="1"/>
      <c r="V52" s="1"/>
      <c r="W52" s="1"/>
      <c r="X52" s="1"/>
      <c r="Y52" s="1"/>
      <c r="Z52" s="1"/>
    </row>
    <row r="53" spans="2:26" ht="19.2" customHeight="1" x14ac:dyDescent="0.3">
      <c r="B53" s="8">
        <v>39</v>
      </c>
      <c r="C53" s="83" t="s">
        <v>77</v>
      </c>
      <c r="D53" s="8"/>
      <c r="E53" s="76">
        <v>6</v>
      </c>
      <c r="F53" s="77">
        <v>6</v>
      </c>
      <c r="G53" s="77">
        <v>6</v>
      </c>
      <c r="H53" s="77">
        <v>6</v>
      </c>
      <c r="I53" s="77">
        <v>6</v>
      </c>
      <c r="J53" s="26">
        <f t="shared" si="0"/>
        <v>30</v>
      </c>
      <c r="K53" s="26">
        <v>17</v>
      </c>
      <c r="L53" s="78">
        <v>4</v>
      </c>
      <c r="M53" s="78">
        <v>4</v>
      </c>
      <c r="N53" s="78">
        <v>3</v>
      </c>
      <c r="O53" s="78">
        <v>3</v>
      </c>
      <c r="P53" s="78">
        <v>3</v>
      </c>
      <c r="Q53" s="26">
        <f t="shared" si="1"/>
        <v>17</v>
      </c>
      <c r="R53" s="25">
        <v>5</v>
      </c>
      <c r="S53" s="28">
        <f t="shared" si="2"/>
        <v>69</v>
      </c>
      <c r="T53" s="1"/>
      <c r="U53" s="1"/>
      <c r="V53" s="1"/>
      <c r="W53" s="1"/>
      <c r="X53" s="1"/>
      <c r="Y53" s="1"/>
      <c r="Z53" s="1"/>
    </row>
    <row r="54" spans="2:26" ht="19.2" customHeight="1" x14ac:dyDescent="0.3">
      <c r="B54" s="8">
        <v>40</v>
      </c>
      <c r="C54" s="83" t="s">
        <v>78</v>
      </c>
      <c r="D54" s="8"/>
      <c r="E54" s="76">
        <v>6</v>
      </c>
      <c r="F54" s="77">
        <v>6</v>
      </c>
      <c r="G54" s="77">
        <v>6</v>
      </c>
      <c r="H54" s="77">
        <v>6</v>
      </c>
      <c r="I54" s="77">
        <v>6</v>
      </c>
      <c r="J54" s="26">
        <f t="shared" si="0"/>
        <v>30</v>
      </c>
      <c r="K54" s="26">
        <v>16</v>
      </c>
      <c r="L54" s="78">
        <v>3</v>
      </c>
      <c r="M54" s="78">
        <v>4</v>
      </c>
      <c r="N54" s="78">
        <v>3</v>
      </c>
      <c r="O54" s="78">
        <v>4</v>
      </c>
      <c r="P54" s="78">
        <v>4</v>
      </c>
      <c r="Q54" s="26">
        <f t="shared" si="1"/>
        <v>18</v>
      </c>
      <c r="R54" s="25">
        <v>5</v>
      </c>
      <c r="S54" s="28">
        <f t="shared" si="2"/>
        <v>69</v>
      </c>
      <c r="T54" s="1"/>
      <c r="U54" s="1"/>
      <c r="V54" s="1"/>
      <c r="W54" s="1"/>
      <c r="X54" s="1"/>
      <c r="Y54" s="1"/>
      <c r="Z54" s="1"/>
    </row>
    <row r="55" spans="2:26" ht="19.2" customHeight="1" x14ac:dyDescent="0.3">
      <c r="B55" s="8">
        <v>41</v>
      </c>
      <c r="C55" s="83" t="s">
        <v>79</v>
      </c>
      <c r="D55" s="8"/>
      <c r="E55" s="76">
        <v>6</v>
      </c>
      <c r="F55" s="77">
        <v>6</v>
      </c>
      <c r="G55" s="77">
        <v>6</v>
      </c>
      <c r="H55" s="77">
        <v>6</v>
      </c>
      <c r="I55" s="77">
        <v>6</v>
      </c>
      <c r="J55" s="26">
        <f t="shared" si="0"/>
        <v>30</v>
      </c>
      <c r="K55" s="26">
        <v>16</v>
      </c>
      <c r="L55" s="78">
        <v>4</v>
      </c>
      <c r="M55" s="78">
        <v>4</v>
      </c>
      <c r="N55" s="78">
        <v>4</v>
      </c>
      <c r="O55" s="78">
        <v>4</v>
      </c>
      <c r="P55" s="78">
        <v>4</v>
      </c>
      <c r="Q55" s="26">
        <f t="shared" si="1"/>
        <v>20</v>
      </c>
      <c r="R55" s="25">
        <v>5</v>
      </c>
      <c r="S55" s="28">
        <f t="shared" si="2"/>
        <v>71</v>
      </c>
      <c r="T55" s="1"/>
      <c r="U55" s="1"/>
      <c r="V55" s="1"/>
      <c r="W55" s="1"/>
      <c r="X55" s="1"/>
      <c r="Y55" s="1"/>
      <c r="Z55" s="1"/>
    </row>
    <row r="56" spans="2:26" ht="19.2" customHeight="1" x14ac:dyDescent="0.3">
      <c r="B56" s="8">
        <v>42</v>
      </c>
      <c r="C56" s="83" t="s">
        <v>80</v>
      </c>
      <c r="D56" s="8"/>
      <c r="E56" s="76">
        <v>6</v>
      </c>
      <c r="F56" s="77">
        <v>6</v>
      </c>
      <c r="G56" s="77">
        <v>6</v>
      </c>
      <c r="H56" s="77">
        <v>6</v>
      </c>
      <c r="I56" s="77">
        <v>6</v>
      </c>
      <c r="J56" s="26">
        <f t="shared" si="0"/>
        <v>30</v>
      </c>
      <c r="K56" s="26">
        <v>17</v>
      </c>
      <c r="L56" s="78">
        <v>4</v>
      </c>
      <c r="M56" s="78">
        <v>4</v>
      </c>
      <c r="N56" s="78">
        <v>4</v>
      </c>
      <c r="O56" s="78">
        <v>4</v>
      </c>
      <c r="P56" s="78">
        <v>4</v>
      </c>
      <c r="Q56" s="26">
        <f t="shared" si="1"/>
        <v>20</v>
      </c>
      <c r="R56" s="25">
        <v>5</v>
      </c>
      <c r="S56" s="28">
        <f t="shared" si="2"/>
        <v>72</v>
      </c>
      <c r="T56" s="1"/>
      <c r="U56" s="1"/>
      <c r="V56" s="1"/>
      <c r="W56" s="1"/>
      <c r="X56" s="1"/>
      <c r="Y56" s="1"/>
      <c r="Z56" s="1"/>
    </row>
    <row r="57" spans="2:26" ht="19.2" customHeight="1" x14ac:dyDescent="0.3">
      <c r="B57" s="8">
        <v>43</v>
      </c>
      <c r="C57" s="83" t="s">
        <v>81</v>
      </c>
      <c r="D57" s="8"/>
      <c r="E57" s="76">
        <v>6</v>
      </c>
      <c r="F57" s="77">
        <v>6</v>
      </c>
      <c r="G57" s="77">
        <v>6</v>
      </c>
      <c r="H57" s="77">
        <v>6</v>
      </c>
      <c r="I57" s="77">
        <v>6</v>
      </c>
      <c r="J57" s="26">
        <f t="shared" si="0"/>
        <v>30</v>
      </c>
      <c r="K57" s="26">
        <v>18</v>
      </c>
      <c r="L57" s="78">
        <v>4</v>
      </c>
      <c r="M57" s="78">
        <v>4</v>
      </c>
      <c r="N57" s="78">
        <v>4</v>
      </c>
      <c r="O57" s="78">
        <v>4</v>
      </c>
      <c r="P57" s="78">
        <v>4</v>
      </c>
      <c r="Q57" s="26">
        <f t="shared" si="1"/>
        <v>20</v>
      </c>
      <c r="R57" s="25">
        <v>5</v>
      </c>
      <c r="S57" s="28">
        <f t="shared" si="2"/>
        <v>73</v>
      </c>
      <c r="T57" s="1"/>
      <c r="U57" s="1"/>
      <c r="V57" s="1"/>
      <c r="W57" s="1"/>
      <c r="X57" s="1"/>
      <c r="Y57" s="1"/>
      <c r="Z57" s="1"/>
    </row>
    <row r="58" spans="2:26" ht="19.2" customHeight="1" x14ac:dyDescent="0.3">
      <c r="B58" s="8">
        <v>44</v>
      </c>
      <c r="C58" s="83" t="s">
        <v>82</v>
      </c>
      <c r="D58" s="8"/>
      <c r="E58" s="76">
        <v>6</v>
      </c>
      <c r="F58" s="77">
        <v>6</v>
      </c>
      <c r="G58" s="77">
        <v>6</v>
      </c>
      <c r="H58" s="77">
        <v>5</v>
      </c>
      <c r="I58" s="77">
        <v>6</v>
      </c>
      <c r="J58" s="26">
        <f t="shared" si="0"/>
        <v>29</v>
      </c>
      <c r="K58" s="26">
        <v>17</v>
      </c>
      <c r="L58" s="78">
        <v>4</v>
      </c>
      <c r="M58" s="78">
        <v>3</v>
      </c>
      <c r="N58" s="78">
        <v>4</v>
      </c>
      <c r="O58" s="78">
        <v>3</v>
      </c>
      <c r="P58" s="78">
        <v>4</v>
      </c>
      <c r="Q58" s="26">
        <f t="shared" si="1"/>
        <v>18</v>
      </c>
      <c r="R58" s="25">
        <v>5</v>
      </c>
      <c r="S58" s="28">
        <f t="shared" si="2"/>
        <v>69</v>
      </c>
      <c r="T58" s="1"/>
      <c r="U58" s="1"/>
      <c r="V58" s="1"/>
      <c r="W58" s="1"/>
      <c r="X58" s="1"/>
      <c r="Y58" s="1"/>
      <c r="Z58" s="1"/>
    </row>
    <row r="59" spans="2:26" ht="19.2" customHeight="1" x14ac:dyDescent="0.3">
      <c r="B59" s="8">
        <v>45</v>
      </c>
      <c r="C59" s="83" t="s">
        <v>83</v>
      </c>
      <c r="D59" s="8"/>
      <c r="E59" s="76">
        <v>6</v>
      </c>
      <c r="F59" s="77">
        <v>6</v>
      </c>
      <c r="G59" s="77">
        <v>6</v>
      </c>
      <c r="H59" s="77">
        <v>6</v>
      </c>
      <c r="I59" s="77">
        <v>6</v>
      </c>
      <c r="J59" s="26">
        <f t="shared" si="0"/>
        <v>30</v>
      </c>
      <c r="K59" s="26">
        <v>16</v>
      </c>
      <c r="L59" s="78">
        <v>4</v>
      </c>
      <c r="M59" s="78">
        <v>4</v>
      </c>
      <c r="N59" s="78">
        <v>4</v>
      </c>
      <c r="O59" s="78">
        <v>4</v>
      </c>
      <c r="P59" s="78">
        <v>4</v>
      </c>
      <c r="Q59" s="26">
        <f t="shared" si="1"/>
        <v>20</v>
      </c>
      <c r="R59" s="25">
        <v>5</v>
      </c>
      <c r="S59" s="28">
        <f t="shared" si="2"/>
        <v>71</v>
      </c>
      <c r="T59" s="1"/>
      <c r="U59" s="1"/>
      <c r="V59" s="1"/>
      <c r="W59" s="1"/>
      <c r="X59" s="1"/>
      <c r="Y59" s="1"/>
      <c r="Z59" s="1"/>
    </row>
    <row r="60" spans="2:26" ht="19.2" customHeight="1" x14ac:dyDescent="0.3">
      <c r="B60" s="8">
        <v>46</v>
      </c>
      <c r="C60" s="83" t="s">
        <v>84</v>
      </c>
      <c r="D60" s="8"/>
      <c r="E60" s="76">
        <v>6</v>
      </c>
      <c r="F60" s="77">
        <v>6</v>
      </c>
      <c r="G60" s="77">
        <v>6</v>
      </c>
      <c r="H60" s="77">
        <v>6</v>
      </c>
      <c r="I60" s="77">
        <v>5</v>
      </c>
      <c r="J60" s="26">
        <f t="shared" si="0"/>
        <v>29</v>
      </c>
      <c r="K60" s="26">
        <v>16</v>
      </c>
      <c r="L60" s="78">
        <v>4</v>
      </c>
      <c r="M60" s="78"/>
      <c r="N60" s="78">
        <v>4</v>
      </c>
      <c r="O60" s="78"/>
      <c r="P60" s="78">
        <v>4</v>
      </c>
      <c r="Q60" s="26">
        <f t="shared" si="1"/>
        <v>12</v>
      </c>
      <c r="R60" s="25">
        <v>5</v>
      </c>
      <c r="S60" s="28">
        <f t="shared" si="2"/>
        <v>62</v>
      </c>
      <c r="T60" s="1"/>
      <c r="U60" s="1"/>
      <c r="V60" s="1"/>
      <c r="W60" s="1"/>
      <c r="X60" s="1"/>
      <c r="Y60" s="1"/>
      <c r="Z60" s="1"/>
    </row>
    <row r="61" spans="2:26" ht="19.2" customHeight="1" x14ac:dyDescent="0.3">
      <c r="B61" s="8">
        <v>47</v>
      </c>
      <c r="C61" s="83" t="s">
        <v>85</v>
      </c>
      <c r="D61" s="8"/>
      <c r="E61" s="76">
        <v>6</v>
      </c>
      <c r="F61" s="77">
        <v>6</v>
      </c>
      <c r="G61" s="77">
        <v>6</v>
      </c>
      <c r="H61" s="77">
        <v>6</v>
      </c>
      <c r="I61" s="77">
        <v>6</v>
      </c>
      <c r="J61" s="26">
        <f t="shared" si="0"/>
        <v>30</v>
      </c>
      <c r="K61" s="26">
        <v>14</v>
      </c>
      <c r="L61" s="78">
        <v>4</v>
      </c>
      <c r="M61" s="78">
        <v>4</v>
      </c>
      <c r="N61" s="78">
        <v>4</v>
      </c>
      <c r="O61" s="78">
        <v>4</v>
      </c>
      <c r="P61" s="78">
        <v>3</v>
      </c>
      <c r="Q61" s="26">
        <f t="shared" si="1"/>
        <v>19</v>
      </c>
      <c r="R61" s="25">
        <v>5</v>
      </c>
      <c r="S61" s="28">
        <f t="shared" si="2"/>
        <v>68</v>
      </c>
      <c r="T61" s="1"/>
      <c r="U61" s="1"/>
      <c r="V61" s="1"/>
      <c r="W61" s="1"/>
      <c r="X61" s="1"/>
      <c r="Y61" s="1"/>
      <c r="Z61" s="1"/>
    </row>
    <row r="62" spans="2:26" ht="19.2" customHeight="1" x14ac:dyDescent="0.3">
      <c r="B62" s="8">
        <v>48</v>
      </c>
      <c r="C62" s="83" t="s">
        <v>86</v>
      </c>
      <c r="D62" s="8"/>
      <c r="E62" s="76">
        <v>6</v>
      </c>
      <c r="F62" s="77">
        <v>6</v>
      </c>
      <c r="G62" s="77">
        <v>6</v>
      </c>
      <c r="H62" s="77">
        <v>6</v>
      </c>
      <c r="I62" s="77">
        <v>6</v>
      </c>
      <c r="J62" s="26">
        <f t="shared" si="0"/>
        <v>30</v>
      </c>
      <c r="K62" s="26">
        <v>19</v>
      </c>
      <c r="L62" s="78">
        <v>4</v>
      </c>
      <c r="M62" s="78">
        <v>4</v>
      </c>
      <c r="N62" s="78">
        <v>4</v>
      </c>
      <c r="O62" s="78">
        <v>4</v>
      </c>
      <c r="P62" s="78">
        <v>4</v>
      </c>
      <c r="Q62" s="26">
        <f t="shared" si="1"/>
        <v>20</v>
      </c>
      <c r="R62" s="25">
        <v>5</v>
      </c>
      <c r="S62" s="28">
        <f t="shared" si="2"/>
        <v>74</v>
      </c>
      <c r="T62" s="1"/>
      <c r="U62" s="1"/>
      <c r="V62" s="1"/>
      <c r="W62" s="1"/>
      <c r="X62" s="1"/>
      <c r="Y62" s="1"/>
      <c r="Z62" s="1"/>
    </row>
    <row r="63" spans="2:26" ht="19.2" customHeight="1" x14ac:dyDescent="0.3">
      <c r="B63" s="8">
        <v>49</v>
      </c>
      <c r="C63" s="83" t="s">
        <v>87</v>
      </c>
      <c r="D63" s="8"/>
      <c r="E63" s="76">
        <v>6</v>
      </c>
      <c r="F63" s="77">
        <v>6</v>
      </c>
      <c r="G63" s="77">
        <v>5</v>
      </c>
      <c r="H63" s="77">
        <v>5</v>
      </c>
      <c r="I63" s="77">
        <v>6</v>
      </c>
      <c r="J63" s="26">
        <f t="shared" si="0"/>
        <v>28</v>
      </c>
      <c r="K63" s="26">
        <v>20</v>
      </c>
      <c r="L63" s="78">
        <v>4</v>
      </c>
      <c r="M63" s="78">
        <v>4</v>
      </c>
      <c r="N63" s="78">
        <v>4</v>
      </c>
      <c r="O63" s="78">
        <v>4</v>
      </c>
      <c r="P63" s="78">
        <v>4</v>
      </c>
      <c r="Q63" s="26">
        <f>SUM(L63, M63, N63, O63, P63)</f>
        <v>20</v>
      </c>
      <c r="R63" s="25">
        <v>5</v>
      </c>
      <c r="S63" s="28">
        <f t="shared" si="2"/>
        <v>73</v>
      </c>
      <c r="T63" s="1"/>
      <c r="U63" s="1"/>
      <c r="V63" s="1"/>
      <c r="W63" s="1"/>
      <c r="X63" s="1"/>
      <c r="Y63" s="1"/>
      <c r="Z63" s="1"/>
    </row>
    <row r="64" spans="2:26" ht="19.2" customHeight="1" x14ac:dyDescent="0.3">
      <c r="B64" s="8">
        <v>50</v>
      </c>
      <c r="C64" s="83" t="s">
        <v>88</v>
      </c>
      <c r="D64" s="8"/>
      <c r="E64" s="76">
        <v>6</v>
      </c>
      <c r="F64" s="77">
        <v>6</v>
      </c>
      <c r="G64" s="77">
        <v>6</v>
      </c>
      <c r="H64" s="77">
        <v>6</v>
      </c>
      <c r="I64" s="77">
        <v>6</v>
      </c>
      <c r="J64" s="26">
        <f t="shared" si="0"/>
        <v>30</v>
      </c>
      <c r="K64" s="26">
        <v>19</v>
      </c>
      <c r="L64" s="78">
        <v>4</v>
      </c>
      <c r="M64" s="78">
        <v>4</v>
      </c>
      <c r="N64" s="78">
        <v>4</v>
      </c>
      <c r="O64" s="78">
        <v>4</v>
      </c>
      <c r="P64" s="78">
        <v>4</v>
      </c>
      <c r="Q64" s="26">
        <f>SUM(L64, M64, N64, O64, P64)</f>
        <v>20</v>
      </c>
      <c r="R64" s="25">
        <v>5</v>
      </c>
      <c r="S64" s="28">
        <f t="shared" si="2"/>
        <v>74</v>
      </c>
      <c r="T64" s="1"/>
      <c r="U64" s="1"/>
      <c r="V64" s="1"/>
      <c r="W64" s="1"/>
      <c r="X64" s="1"/>
      <c r="Y64" s="1"/>
      <c r="Z64" s="1"/>
    </row>
    <row r="65" spans="2:26" ht="19.2" customHeight="1" x14ac:dyDescent="0.3">
      <c r="B65" s="8">
        <v>51</v>
      </c>
      <c r="C65" s="83" t="s">
        <v>89</v>
      </c>
      <c r="D65" s="8"/>
      <c r="E65" s="76">
        <v>6</v>
      </c>
      <c r="F65" s="77">
        <v>6</v>
      </c>
      <c r="G65" s="77">
        <v>6</v>
      </c>
      <c r="H65" s="77">
        <v>6</v>
      </c>
      <c r="I65" s="77">
        <v>6</v>
      </c>
      <c r="J65" s="26">
        <f t="shared" si="0"/>
        <v>30</v>
      </c>
      <c r="K65" s="26">
        <v>15</v>
      </c>
      <c r="L65" s="78">
        <v>4</v>
      </c>
      <c r="M65" s="78">
        <v>4</v>
      </c>
      <c r="N65" s="78">
        <v>4</v>
      </c>
      <c r="O65" s="78">
        <v>4</v>
      </c>
      <c r="P65" s="78">
        <v>4</v>
      </c>
      <c r="Q65" s="26">
        <f t="shared" si="1"/>
        <v>20</v>
      </c>
      <c r="R65" s="25">
        <v>5</v>
      </c>
      <c r="S65" s="28">
        <f t="shared" si="2"/>
        <v>70</v>
      </c>
      <c r="T65" s="1"/>
      <c r="U65" s="1"/>
      <c r="V65" s="1"/>
      <c r="W65" s="1"/>
      <c r="X65" s="1"/>
      <c r="Y65" s="1"/>
      <c r="Z65" s="1"/>
    </row>
    <row r="66" spans="2:26" ht="19.2" customHeight="1" x14ac:dyDescent="0.3">
      <c r="B66" s="8">
        <v>52</v>
      </c>
      <c r="C66" s="83" t="s">
        <v>90</v>
      </c>
      <c r="D66" s="8"/>
      <c r="E66" s="76">
        <v>6</v>
      </c>
      <c r="F66" s="77">
        <v>6</v>
      </c>
      <c r="G66" s="77">
        <v>5</v>
      </c>
      <c r="H66" s="77">
        <v>5</v>
      </c>
      <c r="I66" s="77">
        <v>6</v>
      </c>
      <c r="J66" s="26">
        <f t="shared" si="0"/>
        <v>28</v>
      </c>
      <c r="K66" s="26">
        <v>8</v>
      </c>
      <c r="L66" s="78">
        <v>4</v>
      </c>
      <c r="M66" s="78">
        <v>4</v>
      </c>
      <c r="N66" s="78">
        <v>4</v>
      </c>
      <c r="O66" s="78">
        <v>4</v>
      </c>
      <c r="P66" s="78">
        <v>4</v>
      </c>
      <c r="Q66" s="26">
        <f t="shared" si="1"/>
        <v>20</v>
      </c>
      <c r="R66" s="25">
        <v>5</v>
      </c>
      <c r="S66" s="28">
        <f t="shared" si="2"/>
        <v>61</v>
      </c>
      <c r="T66" s="1"/>
      <c r="U66" s="1"/>
      <c r="V66" s="1"/>
      <c r="W66" s="1"/>
      <c r="X66" s="1"/>
      <c r="Y66" s="1"/>
      <c r="Z66" s="1"/>
    </row>
    <row r="67" spans="2:26" ht="19.2" customHeight="1" x14ac:dyDescent="0.3">
      <c r="B67" s="8">
        <v>53</v>
      </c>
      <c r="C67" s="83" t="s">
        <v>91</v>
      </c>
      <c r="D67" s="8"/>
      <c r="E67" s="76">
        <v>6</v>
      </c>
      <c r="F67" s="77">
        <v>6</v>
      </c>
      <c r="G67" s="77">
        <v>6</v>
      </c>
      <c r="H67" s="77">
        <v>6</v>
      </c>
      <c r="I67" s="77">
        <v>6</v>
      </c>
      <c r="J67" s="26">
        <f t="shared" si="0"/>
        <v>30</v>
      </c>
      <c r="K67" s="26">
        <v>14</v>
      </c>
      <c r="L67" s="78">
        <v>4</v>
      </c>
      <c r="M67" s="78">
        <v>4</v>
      </c>
      <c r="N67" s="78">
        <v>4</v>
      </c>
      <c r="O67" s="78">
        <v>4</v>
      </c>
      <c r="P67" s="78">
        <v>3</v>
      </c>
      <c r="Q67" s="26">
        <f t="shared" si="1"/>
        <v>19</v>
      </c>
      <c r="R67" s="25">
        <v>5</v>
      </c>
      <c r="S67" s="28">
        <f t="shared" si="2"/>
        <v>68</v>
      </c>
      <c r="T67" s="1"/>
      <c r="U67" s="1"/>
      <c r="V67" s="1"/>
      <c r="W67" s="1"/>
      <c r="X67" s="1"/>
      <c r="Y67" s="1"/>
      <c r="Z67" s="1"/>
    </row>
    <row r="68" spans="2:26" ht="19.2" customHeight="1" x14ac:dyDescent="0.3">
      <c r="B68" s="8">
        <v>54</v>
      </c>
      <c r="C68" s="83" t="s">
        <v>92</v>
      </c>
      <c r="D68" s="8"/>
      <c r="E68" s="76">
        <v>6</v>
      </c>
      <c r="F68" s="77">
        <v>6</v>
      </c>
      <c r="G68" s="77">
        <v>6</v>
      </c>
      <c r="H68" s="77">
        <v>6</v>
      </c>
      <c r="I68" s="77">
        <v>6</v>
      </c>
      <c r="J68" s="26">
        <f t="shared" si="0"/>
        <v>30</v>
      </c>
      <c r="K68" s="26">
        <v>18</v>
      </c>
      <c r="L68" s="78">
        <v>4</v>
      </c>
      <c r="M68" s="78">
        <v>4</v>
      </c>
      <c r="N68" s="78">
        <v>4</v>
      </c>
      <c r="O68" s="78">
        <v>4</v>
      </c>
      <c r="P68" s="78">
        <v>4</v>
      </c>
      <c r="Q68" s="26">
        <f t="shared" si="1"/>
        <v>20</v>
      </c>
      <c r="R68" s="25">
        <v>5</v>
      </c>
      <c r="S68" s="28">
        <f t="shared" si="2"/>
        <v>73</v>
      </c>
      <c r="T68" s="1"/>
      <c r="U68" s="1"/>
      <c r="V68" s="1"/>
      <c r="W68" s="1"/>
      <c r="X68" s="1"/>
      <c r="Y68" s="1"/>
      <c r="Z68" s="1"/>
    </row>
    <row r="69" spans="2:26" ht="19.2" customHeight="1" x14ac:dyDescent="0.3">
      <c r="B69" s="8">
        <v>55</v>
      </c>
      <c r="C69" s="83" t="s">
        <v>93</v>
      </c>
      <c r="D69" s="8"/>
      <c r="E69" s="76">
        <v>6</v>
      </c>
      <c r="F69" s="77">
        <v>6</v>
      </c>
      <c r="G69" s="77">
        <v>6</v>
      </c>
      <c r="H69" s="77">
        <v>6</v>
      </c>
      <c r="I69" s="77">
        <v>6</v>
      </c>
      <c r="J69" s="26">
        <f t="shared" si="0"/>
        <v>30</v>
      </c>
      <c r="K69" s="26">
        <v>19</v>
      </c>
      <c r="L69" s="78">
        <v>4</v>
      </c>
      <c r="M69" s="78">
        <v>4</v>
      </c>
      <c r="N69" s="78">
        <v>4</v>
      </c>
      <c r="O69" s="78">
        <v>4</v>
      </c>
      <c r="P69" s="78">
        <v>4</v>
      </c>
      <c r="Q69" s="26">
        <f t="shared" si="1"/>
        <v>20</v>
      </c>
      <c r="R69" s="25">
        <v>5</v>
      </c>
      <c r="S69" s="28">
        <f t="shared" si="2"/>
        <v>74</v>
      </c>
      <c r="T69" s="1"/>
      <c r="U69" s="1"/>
      <c r="V69" s="1"/>
      <c r="W69" s="1"/>
      <c r="X69" s="1"/>
      <c r="Y69" s="1"/>
      <c r="Z69" s="1"/>
    </row>
    <row r="70" spans="2:26" ht="19.2" customHeight="1" x14ac:dyDescent="0.3">
      <c r="B70" s="8">
        <v>56</v>
      </c>
      <c r="C70" s="83" t="s">
        <v>94</v>
      </c>
      <c r="D70" s="8"/>
      <c r="E70" s="76">
        <v>6</v>
      </c>
      <c r="F70" s="77">
        <v>6</v>
      </c>
      <c r="G70" s="77">
        <v>6</v>
      </c>
      <c r="H70" s="77">
        <v>6</v>
      </c>
      <c r="I70" s="77">
        <v>6</v>
      </c>
      <c r="J70" s="26">
        <f t="shared" si="0"/>
        <v>30</v>
      </c>
      <c r="K70" s="26">
        <v>15</v>
      </c>
      <c r="L70" s="78">
        <v>4</v>
      </c>
      <c r="M70" s="78">
        <v>4</v>
      </c>
      <c r="N70" s="78">
        <v>4</v>
      </c>
      <c r="O70" s="78">
        <v>4</v>
      </c>
      <c r="P70" s="78">
        <v>4</v>
      </c>
      <c r="Q70" s="26">
        <f t="shared" si="1"/>
        <v>20</v>
      </c>
      <c r="R70" s="25">
        <v>5</v>
      </c>
      <c r="S70" s="28">
        <f t="shared" si="2"/>
        <v>70</v>
      </c>
      <c r="T70" s="1"/>
      <c r="U70" s="1"/>
      <c r="V70" s="1"/>
      <c r="W70" s="1"/>
      <c r="X70" s="1"/>
      <c r="Y70" s="1"/>
      <c r="Z70" s="1"/>
    </row>
    <row r="71" spans="2:26" ht="19.2" customHeight="1" x14ac:dyDescent="0.3">
      <c r="B71" s="8">
        <v>57</v>
      </c>
      <c r="C71" s="85" t="s">
        <v>95</v>
      </c>
      <c r="D71" s="21"/>
      <c r="E71" s="76">
        <v>6</v>
      </c>
      <c r="F71" s="77">
        <v>6</v>
      </c>
      <c r="G71" s="77">
        <v>6</v>
      </c>
      <c r="H71" s="77">
        <v>6</v>
      </c>
      <c r="I71" s="77">
        <v>6</v>
      </c>
      <c r="J71" s="26">
        <f t="shared" si="0"/>
        <v>30</v>
      </c>
      <c r="K71" s="26">
        <v>13</v>
      </c>
      <c r="L71" s="78">
        <v>4</v>
      </c>
      <c r="M71" s="78">
        <v>4</v>
      </c>
      <c r="N71" s="78">
        <v>4</v>
      </c>
      <c r="O71" s="78">
        <v>4</v>
      </c>
      <c r="P71" s="78">
        <v>4</v>
      </c>
      <c r="Q71" s="26">
        <f t="shared" si="1"/>
        <v>20</v>
      </c>
      <c r="R71" s="25">
        <v>5</v>
      </c>
      <c r="S71" s="28">
        <f t="shared" si="2"/>
        <v>68</v>
      </c>
      <c r="T71" s="1"/>
      <c r="U71" s="1"/>
      <c r="V71" s="1"/>
      <c r="W71" s="1"/>
      <c r="X71" s="1"/>
      <c r="Y71" s="1"/>
      <c r="Z71" s="1"/>
    </row>
    <row r="72" spans="2:26" ht="19.2" customHeight="1" x14ac:dyDescent="0.3">
      <c r="B72" s="8">
        <v>58</v>
      </c>
      <c r="C72" s="73" t="s">
        <v>96</v>
      </c>
      <c r="D72" s="31"/>
      <c r="E72" s="76">
        <v>6</v>
      </c>
      <c r="F72" s="77">
        <v>6</v>
      </c>
      <c r="G72" s="77">
        <v>6</v>
      </c>
      <c r="H72" s="77">
        <v>6</v>
      </c>
      <c r="I72" s="77">
        <v>6</v>
      </c>
      <c r="J72" s="26">
        <f t="shared" si="0"/>
        <v>30</v>
      </c>
      <c r="K72" s="26">
        <v>18</v>
      </c>
      <c r="L72" s="78">
        <v>4</v>
      </c>
      <c r="M72" s="78">
        <v>4</v>
      </c>
      <c r="N72" s="78">
        <v>4</v>
      </c>
      <c r="O72" s="78">
        <v>4</v>
      </c>
      <c r="P72" s="78">
        <v>4</v>
      </c>
      <c r="Q72" s="26">
        <f t="shared" si="1"/>
        <v>20</v>
      </c>
      <c r="R72" s="25">
        <v>5</v>
      </c>
      <c r="S72" s="28">
        <f t="shared" si="2"/>
        <v>73</v>
      </c>
      <c r="T72" s="1"/>
      <c r="U72" s="1"/>
      <c r="V72" s="1"/>
      <c r="W72" s="1"/>
      <c r="X72" s="1"/>
      <c r="Y72" s="1"/>
      <c r="Z72" s="1"/>
    </row>
    <row r="73" spans="2:26" ht="19.2" customHeight="1" x14ac:dyDescent="0.3">
      <c r="B73" s="8">
        <v>59</v>
      </c>
      <c r="C73" s="73" t="s">
        <v>97</v>
      </c>
      <c r="D73" s="31"/>
      <c r="E73" s="72">
        <v>6</v>
      </c>
      <c r="F73" s="72">
        <v>6</v>
      </c>
      <c r="G73" s="72">
        <v>6</v>
      </c>
      <c r="H73" s="72">
        <v>6</v>
      </c>
      <c r="I73" s="72">
        <v>6</v>
      </c>
      <c r="J73" s="26">
        <f t="shared" si="0"/>
        <v>30</v>
      </c>
      <c r="K73" s="26">
        <v>18</v>
      </c>
      <c r="L73" s="78">
        <v>4</v>
      </c>
      <c r="M73" s="78">
        <v>4</v>
      </c>
      <c r="N73" s="78">
        <v>4</v>
      </c>
      <c r="O73" s="78">
        <v>4</v>
      </c>
      <c r="P73" s="78">
        <v>4</v>
      </c>
      <c r="Q73" s="26">
        <f t="shared" si="1"/>
        <v>20</v>
      </c>
      <c r="R73" s="25">
        <v>5</v>
      </c>
      <c r="S73" s="28">
        <f t="shared" si="2"/>
        <v>73</v>
      </c>
      <c r="T73" s="1"/>
      <c r="U73" s="1"/>
      <c r="V73" s="1"/>
      <c r="W73" s="1"/>
      <c r="X73" s="1"/>
      <c r="Y73" s="1"/>
      <c r="Z73" s="1"/>
    </row>
    <row r="74" spans="2:26" ht="19.2" customHeight="1" x14ac:dyDescent="0.3">
      <c r="B74" s="8">
        <v>60</v>
      </c>
      <c r="C74" s="73" t="s">
        <v>98</v>
      </c>
      <c r="D74" s="31"/>
      <c r="E74" s="72">
        <v>6</v>
      </c>
      <c r="F74" s="72">
        <v>6</v>
      </c>
      <c r="G74" s="72">
        <v>6</v>
      </c>
      <c r="H74" s="72">
        <v>6</v>
      </c>
      <c r="I74" s="72">
        <v>6</v>
      </c>
      <c r="J74" s="26">
        <f t="shared" si="0"/>
        <v>30</v>
      </c>
      <c r="K74" s="26">
        <v>16</v>
      </c>
      <c r="L74" s="78">
        <v>4</v>
      </c>
      <c r="M74" s="78">
        <v>4</v>
      </c>
      <c r="N74" s="78">
        <v>4</v>
      </c>
      <c r="O74" s="78">
        <v>4</v>
      </c>
      <c r="P74" s="78">
        <v>4</v>
      </c>
      <c r="Q74" s="26">
        <f t="shared" si="1"/>
        <v>20</v>
      </c>
      <c r="R74" s="25">
        <v>5</v>
      </c>
      <c r="S74" s="28">
        <f t="shared" si="2"/>
        <v>71</v>
      </c>
      <c r="T74" s="1"/>
      <c r="U74" s="1"/>
      <c r="V74" s="1"/>
      <c r="W74" s="1"/>
      <c r="X74" s="1"/>
      <c r="Y74" s="1"/>
      <c r="Z74" s="1"/>
    </row>
    <row r="75" spans="2:26" ht="19.2" customHeight="1" x14ac:dyDescent="0.3">
      <c r="B75" s="8">
        <v>61</v>
      </c>
      <c r="C75" s="73" t="s">
        <v>99</v>
      </c>
      <c r="D75" s="31"/>
      <c r="E75" s="72">
        <v>6</v>
      </c>
      <c r="F75" s="72">
        <v>6</v>
      </c>
      <c r="G75" s="72">
        <v>6</v>
      </c>
      <c r="H75" s="72">
        <v>6</v>
      </c>
      <c r="I75" s="72">
        <v>6</v>
      </c>
      <c r="J75" s="26">
        <f t="shared" si="0"/>
        <v>30</v>
      </c>
      <c r="K75" s="26">
        <v>19</v>
      </c>
      <c r="L75" s="78">
        <v>4</v>
      </c>
      <c r="M75" s="78">
        <v>4</v>
      </c>
      <c r="N75" s="78">
        <v>4</v>
      </c>
      <c r="O75" s="78">
        <v>4</v>
      </c>
      <c r="P75" s="78">
        <v>4</v>
      </c>
      <c r="Q75" s="26">
        <f t="shared" si="1"/>
        <v>20</v>
      </c>
      <c r="R75" s="25">
        <v>5</v>
      </c>
      <c r="S75" s="28">
        <f t="shared" si="2"/>
        <v>74</v>
      </c>
    </row>
    <row r="76" spans="2:26" ht="19.2" customHeight="1" x14ac:dyDescent="0.3">
      <c r="B76" s="8">
        <v>62</v>
      </c>
      <c r="C76" s="73" t="s">
        <v>100</v>
      </c>
      <c r="D76" s="42"/>
      <c r="E76" s="72">
        <v>6</v>
      </c>
      <c r="F76" s="72">
        <v>6</v>
      </c>
      <c r="G76" s="72">
        <v>6</v>
      </c>
      <c r="H76" s="72">
        <v>6</v>
      </c>
      <c r="I76" s="72">
        <v>6</v>
      </c>
      <c r="J76" s="26">
        <f t="shared" si="0"/>
        <v>30</v>
      </c>
      <c r="K76" s="26">
        <v>20</v>
      </c>
      <c r="L76" s="78">
        <v>4</v>
      </c>
      <c r="M76" s="78">
        <v>4</v>
      </c>
      <c r="N76" s="78">
        <v>4</v>
      </c>
      <c r="O76" s="78">
        <v>4</v>
      </c>
      <c r="P76" s="78">
        <v>4</v>
      </c>
      <c r="Q76" s="26">
        <f t="shared" si="1"/>
        <v>20</v>
      </c>
      <c r="R76" s="25">
        <v>5</v>
      </c>
      <c r="S76" s="28">
        <f t="shared" si="2"/>
        <v>75</v>
      </c>
    </row>
    <row r="77" spans="2:26" ht="19.2" customHeight="1" x14ac:dyDescent="0.3">
      <c r="B77" s="8">
        <v>63</v>
      </c>
      <c r="C77" s="73" t="s">
        <v>101</v>
      </c>
      <c r="D77" s="42"/>
      <c r="E77" s="72">
        <v>6</v>
      </c>
      <c r="F77" s="72">
        <v>6</v>
      </c>
      <c r="G77" s="72">
        <v>6</v>
      </c>
      <c r="H77" s="72">
        <v>6</v>
      </c>
      <c r="I77" s="72">
        <v>6</v>
      </c>
      <c r="J77" s="26">
        <f t="shared" si="0"/>
        <v>30</v>
      </c>
      <c r="K77" s="26">
        <v>18</v>
      </c>
      <c r="L77" s="78">
        <v>4</v>
      </c>
      <c r="M77" s="78">
        <v>4</v>
      </c>
      <c r="N77" s="78">
        <v>4</v>
      </c>
      <c r="O77" s="78">
        <v>4</v>
      </c>
      <c r="P77" s="78">
        <v>4</v>
      </c>
      <c r="Q77" s="26">
        <f t="shared" si="1"/>
        <v>20</v>
      </c>
      <c r="R77" s="25">
        <v>5</v>
      </c>
      <c r="S77" s="28">
        <f t="shared" si="2"/>
        <v>73</v>
      </c>
    </row>
    <row r="78" spans="2:26" ht="19.2" customHeight="1" x14ac:dyDescent="0.3">
      <c r="B78" s="8">
        <v>64</v>
      </c>
      <c r="C78" s="73" t="s">
        <v>102</v>
      </c>
      <c r="D78" s="42"/>
      <c r="E78" s="73">
        <v>6</v>
      </c>
      <c r="F78" s="73">
        <v>6</v>
      </c>
      <c r="G78" s="73">
        <v>6</v>
      </c>
      <c r="H78" s="73">
        <v>5</v>
      </c>
      <c r="I78" s="73">
        <v>6</v>
      </c>
      <c r="J78" s="26">
        <f t="shared" si="0"/>
        <v>29</v>
      </c>
      <c r="K78" s="26">
        <v>16</v>
      </c>
      <c r="L78" s="78">
        <v>4</v>
      </c>
      <c r="M78" s="78">
        <v>4</v>
      </c>
      <c r="N78" s="78">
        <v>4</v>
      </c>
      <c r="O78" s="78">
        <v>3</v>
      </c>
      <c r="P78" s="78">
        <v>4</v>
      </c>
      <c r="Q78" s="26">
        <f t="shared" si="1"/>
        <v>19</v>
      </c>
      <c r="R78" s="25">
        <v>5</v>
      </c>
      <c r="S78" s="28">
        <f t="shared" si="2"/>
        <v>69</v>
      </c>
    </row>
    <row r="79" spans="2:26" ht="19.2" customHeight="1" x14ac:dyDescent="0.3">
      <c r="B79" s="8">
        <v>65</v>
      </c>
      <c r="C79" s="73" t="s">
        <v>103</v>
      </c>
      <c r="D79" s="42"/>
      <c r="E79" s="73">
        <v>6</v>
      </c>
      <c r="F79" s="73">
        <v>6</v>
      </c>
      <c r="G79" s="73">
        <v>6</v>
      </c>
      <c r="H79" s="73">
        <v>6</v>
      </c>
      <c r="I79" s="73">
        <v>6</v>
      </c>
      <c r="J79" s="26">
        <f t="shared" si="0"/>
        <v>30</v>
      </c>
      <c r="K79" s="26">
        <v>17</v>
      </c>
      <c r="L79" s="78">
        <v>4</v>
      </c>
      <c r="M79" s="78">
        <v>4</v>
      </c>
      <c r="N79" s="78">
        <v>4</v>
      </c>
      <c r="O79" s="78">
        <v>4</v>
      </c>
      <c r="P79" s="78">
        <v>4</v>
      </c>
      <c r="Q79" s="26">
        <f t="shared" si="1"/>
        <v>20</v>
      </c>
      <c r="R79" s="25">
        <v>5</v>
      </c>
      <c r="S79" s="28">
        <f t="shared" si="2"/>
        <v>72</v>
      </c>
    </row>
    <row r="80" spans="2:26" x14ac:dyDescent="0.3">
      <c r="B80" s="8">
        <v>66</v>
      </c>
      <c r="C80" s="73" t="s">
        <v>104</v>
      </c>
      <c r="D80" s="48"/>
      <c r="E80" s="73">
        <v>6</v>
      </c>
      <c r="F80" s="73">
        <v>6</v>
      </c>
      <c r="G80" s="73">
        <v>6</v>
      </c>
      <c r="H80" s="73">
        <v>6</v>
      </c>
      <c r="I80" s="73">
        <v>6</v>
      </c>
      <c r="J80" s="26">
        <f t="shared" ref="J80:J143" si="3">SUM(E80, F80, G80, H80, I80)</f>
        <v>30</v>
      </c>
      <c r="K80" s="26">
        <v>17</v>
      </c>
      <c r="L80" s="78">
        <v>4</v>
      </c>
      <c r="M80" s="78">
        <v>4</v>
      </c>
      <c r="N80" s="78">
        <v>4</v>
      </c>
      <c r="O80" s="78">
        <v>4</v>
      </c>
      <c r="P80" s="78">
        <v>4</v>
      </c>
      <c r="Q80" s="26">
        <f t="shared" ref="Q80:Q143" si="4">SUM(L80, M80, N80, O80, P80)</f>
        <v>20</v>
      </c>
      <c r="R80" s="25">
        <v>5</v>
      </c>
      <c r="S80" s="28">
        <f t="shared" ref="S80:S143" si="5">SUM(J80, K80, Q80, R80)</f>
        <v>72</v>
      </c>
    </row>
    <row r="81" spans="2:19" x14ac:dyDescent="0.3">
      <c r="B81" s="8">
        <v>67</v>
      </c>
      <c r="C81" s="73" t="s">
        <v>105</v>
      </c>
      <c r="D81" s="48"/>
      <c r="E81" s="73">
        <v>6</v>
      </c>
      <c r="F81" s="73">
        <v>6</v>
      </c>
      <c r="G81" s="73">
        <v>6</v>
      </c>
      <c r="H81" s="73">
        <v>6</v>
      </c>
      <c r="I81" s="73">
        <v>6</v>
      </c>
      <c r="J81" s="26">
        <f t="shared" si="3"/>
        <v>30</v>
      </c>
      <c r="K81" s="26">
        <v>16</v>
      </c>
      <c r="L81" s="78">
        <v>4</v>
      </c>
      <c r="M81" s="78">
        <v>4</v>
      </c>
      <c r="N81" s="78">
        <v>4</v>
      </c>
      <c r="O81" s="78">
        <v>4</v>
      </c>
      <c r="P81" s="78">
        <v>4</v>
      </c>
      <c r="Q81" s="26">
        <f t="shared" si="4"/>
        <v>20</v>
      </c>
      <c r="R81" s="25">
        <v>5</v>
      </c>
      <c r="S81" s="28">
        <f t="shared" si="5"/>
        <v>71</v>
      </c>
    </row>
    <row r="82" spans="2:19" x14ac:dyDescent="0.3">
      <c r="B82" s="8">
        <v>68</v>
      </c>
      <c r="C82" s="80" t="s">
        <v>106</v>
      </c>
      <c r="D82" s="48"/>
      <c r="E82" s="73">
        <v>6</v>
      </c>
      <c r="F82" s="73">
        <v>6</v>
      </c>
      <c r="G82" s="73">
        <v>6</v>
      </c>
      <c r="H82" s="73">
        <v>6</v>
      </c>
      <c r="I82" s="73">
        <v>6</v>
      </c>
      <c r="J82" s="26">
        <f t="shared" si="3"/>
        <v>30</v>
      </c>
      <c r="K82" s="26">
        <v>19</v>
      </c>
      <c r="L82" s="78">
        <v>4</v>
      </c>
      <c r="M82" s="78">
        <v>4</v>
      </c>
      <c r="N82" s="78">
        <v>4</v>
      </c>
      <c r="O82" s="78">
        <v>4</v>
      </c>
      <c r="P82" s="78">
        <v>4</v>
      </c>
      <c r="Q82" s="26">
        <f t="shared" si="4"/>
        <v>20</v>
      </c>
      <c r="R82" s="25">
        <v>5</v>
      </c>
      <c r="S82" s="28">
        <f t="shared" si="5"/>
        <v>74</v>
      </c>
    </row>
    <row r="83" spans="2:19" x14ac:dyDescent="0.3">
      <c r="B83" s="8">
        <v>69</v>
      </c>
      <c r="C83" s="80" t="s">
        <v>107</v>
      </c>
      <c r="D83" s="48"/>
      <c r="E83" s="73">
        <v>6</v>
      </c>
      <c r="F83" s="73">
        <v>6</v>
      </c>
      <c r="G83" s="73">
        <v>6</v>
      </c>
      <c r="H83" s="73">
        <v>6</v>
      </c>
      <c r="I83" s="73">
        <v>6</v>
      </c>
      <c r="J83" s="26">
        <f t="shared" si="3"/>
        <v>30</v>
      </c>
      <c r="K83" s="26">
        <v>16</v>
      </c>
      <c r="L83" s="78">
        <v>4</v>
      </c>
      <c r="M83" s="78">
        <v>4</v>
      </c>
      <c r="N83" s="78">
        <v>4</v>
      </c>
      <c r="O83" s="78">
        <v>4</v>
      </c>
      <c r="P83" s="78">
        <v>4</v>
      </c>
      <c r="Q83" s="26">
        <f t="shared" si="4"/>
        <v>20</v>
      </c>
      <c r="R83" s="25">
        <v>5</v>
      </c>
      <c r="S83" s="28">
        <f t="shared" si="5"/>
        <v>71</v>
      </c>
    </row>
    <row r="84" spans="2:19" x14ac:dyDescent="0.3">
      <c r="B84" s="8">
        <v>70</v>
      </c>
      <c r="C84" s="80" t="s">
        <v>108</v>
      </c>
      <c r="D84" s="48"/>
      <c r="E84" s="73">
        <v>6</v>
      </c>
      <c r="F84" s="73">
        <v>6</v>
      </c>
      <c r="G84" s="73">
        <v>6</v>
      </c>
      <c r="H84" s="73">
        <v>6</v>
      </c>
      <c r="I84" s="73">
        <v>6</v>
      </c>
      <c r="J84" s="26">
        <f t="shared" si="3"/>
        <v>30</v>
      </c>
      <c r="K84" s="26">
        <v>16</v>
      </c>
      <c r="L84" s="78">
        <v>4</v>
      </c>
      <c r="M84" s="78">
        <v>4</v>
      </c>
      <c r="N84" s="78">
        <v>4</v>
      </c>
      <c r="O84" s="78">
        <v>4</v>
      </c>
      <c r="P84" s="78">
        <v>4</v>
      </c>
      <c r="Q84" s="26">
        <f t="shared" si="4"/>
        <v>20</v>
      </c>
      <c r="R84" s="25">
        <v>5</v>
      </c>
      <c r="S84" s="28">
        <f t="shared" si="5"/>
        <v>71</v>
      </c>
    </row>
    <row r="85" spans="2:19" x14ac:dyDescent="0.3">
      <c r="B85" s="8">
        <v>71</v>
      </c>
      <c r="C85" s="80" t="s">
        <v>109</v>
      </c>
      <c r="D85" s="48"/>
      <c r="E85" s="73">
        <v>6</v>
      </c>
      <c r="F85" s="73">
        <v>6</v>
      </c>
      <c r="G85" s="73">
        <v>6</v>
      </c>
      <c r="H85" s="73">
        <v>6</v>
      </c>
      <c r="I85" s="73">
        <v>6</v>
      </c>
      <c r="J85" s="26">
        <f t="shared" si="3"/>
        <v>30</v>
      </c>
      <c r="K85" s="26">
        <v>16</v>
      </c>
      <c r="L85" s="78">
        <v>4</v>
      </c>
      <c r="M85" s="78">
        <v>4</v>
      </c>
      <c r="N85" s="78">
        <v>4</v>
      </c>
      <c r="O85" s="78">
        <v>4</v>
      </c>
      <c r="P85" s="78">
        <v>4</v>
      </c>
      <c r="Q85" s="26">
        <f t="shared" si="4"/>
        <v>20</v>
      </c>
      <c r="R85" s="25">
        <v>5</v>
      </c>
      <c r="S85" s="28">
        <f t="shared" si="5"/>
        <v>71</v>
      </c>
    </row>
    <row r="86" spans="2:19" x14ac:dyDescent="0.3">
      <c r="B86" s="8">
        <v>72</v>
      </c>
      <c r="C86" s="80" t="s">
        <v>110</v>
      </c>
      <c r="D86" s="48"/>
      <c r="E86" s="73">
        <v>6</v>
      </c>
      <c r="F86" s="73">
        <v>6</v>
      </c>
      <c r="G86" s="73">
        <v>6</v>
      </c>
      <c r="H86" s="73">
        <v>6</v>
      </c>
      <c r="I86" s="73">
        <v>6</v>
      </c>
      <c r="J86" s="26">
        <f t="shared" si="3"/>
        <v>30</v>
      </c>
      <c r="K86" s="26">
        <v>18</v>
      </c>
      <c r="L86" s="78">
        <v>4</v>
      </c>
      <c r="M86" s="78">
        <v>4</v>
      </c>
      <c r="N86" s="78">
        <v>4</v>
      </c>
      <c r="O86" s="78">
        <v>4</v>
      </c>
      <c r="P86" s="78">
        <v>4</v>
      </c>
      <c r="Q86" s="26">
        <f t="shared" si="4"/>
        <v>20</v>
      </c>
      <c r="R86" s="25">
        <v>5</v>
      </c>
      <c r="S86" s="28">
        <f t="shared" si="5"/>
        <v>73</v>
      </c>
    </row>
    <row r="87" spans="2:19" x14ac:dyDescent="0.3">
      <c r="B87" s="8">
        <v>73</v>
      </c>
      <c r="C87" s="80" t="s">
        <v>111</v>
      </c>
      <c r="D87" s="48"/>
      <c r="E87" s="73">
        <v>6</v>
      </c>
      <c r="F87" s="73">
        <v>6</v>
      </c>
      <c r="G87" s="73">
        <v>6</v>
      </c>
      <c r="H87" s="73">
        <v>6</v>
      </c>
      <c r="I87" s="73">
        <v>4</v>
      </c>
      <c r="J87" s="26">
        <f t="shared" si="3"/>
        <v>28</v>
      </c>
      <c r="K87" s="26">
        <v>16</v>
      </c>
      <c r="L87" s="78">
        <v>4</v>
      </c>
      <c r="M87" s="78">
        <v>4</v>
      </c>
      <c r="N87" s="78">
        <v>4</v>
      </c>
      <c r="O87" s="78">
        <v>4</v>
      </c>
      <c r="P87" s="78">
        <v>4</v>
      </c>
      <c r="Q87" s="26">
        <f t="shared" si="4"/>
        <v>20</v>
      </c>
      <c r="R87" s="25">
        <v>5</v>
      </c>
      <c r="S87" s="28">
        <f t="shared" si="5"/>
        <v>69</v>
      </c>
    </row>
    <row r="88" spans="2:19" x14ac:dyDescent="0.3">
      <c r="B88" s="8">
        <v>74</v>
      </c>
      <c r="C88" s="80" t="s">
        <v>112</v>
      </c>
      <c r="D88" s="48"/>
      <c r="E88" s="73">
        <v>6</v>
      </c>
      <c r="F88" s="73">
        <v>6</v>
      </c>
      <c r="G88" s="73">
        <v>6</v>
      </c>
      <c r="H88" s="73">
        <v>6</v>
      </c>
      <c r="I88" s="73">
        <v>3</v>
      </c>
      <c r="J88" s="26">
        <f t="shared" si="3"/>
        <v>27</v>
      </c>
      <c r="K88" s="26">
        <v>18</v>
      </c>
      <c r="L88" s="78">
        <v>4</v>
      </c>
      <c r="M88" s="78">
        <v>4</v>
      </c>
      <c r="N88" s="78">
        <v>3</v>
      </c>
      <c r="O88" s="78">
        <v>3</v>
      </c>
      <c r="P88" s="78">
        <v>4</v>
      </c>
      <c r="Q88" s="26">
        <f t="shared" si="4"/>
        <v>18</v>
      </c>
      <c r="R88" s="25">
        <v>5</v>
      </c>
      <c r="S88" s="28">
        <f t="shared" si="5"/>
        <v>68</v>
      </c>
    </row>
    <row r="89" spans="2:19" x14ac:dyDescent="0.3">
      <c r="B89" s="8">
        <v>75</v>
      </c>
      <c r="C89" s="80" t="s">
        <v>113</v>
      </c>
      <c r="D89" s="48"/>
      <c r="E89" s="73">
        <v>6</v>
      </c>
      <c r="F89" s="73">
        <v>6</v>
      </c>
      <c r="G89" s="73">
        <v>6</v>
      </c>
      <c r="H89" s="73">
        <v>6</v>
      </c>
      <c r="I89" s="73">
        <v>6</v>
      </c>
      <c r="J89" s="26">
        <f t="shared" si="3"/>
        <v>30</v>
      </c>
      <c r="K89" s="26">
        <v>16</v>
      </c>
      <c r="L89" s="78">
        <v>4</v>
      </c>
      <c r="M89" s="78">
        <v>4</v>
      </c>
      <c r="N89" s="78">
        <v>4</v>
      </c>
      <c r="O89" s="78">
        <v>4</v>
      </c>
      <c r="P89" s="78">
        <v>4</v>
      </c>
      <c r="Q89" s="26">
        <f t="shared" si="4"/>
        <v>20</v>
      </c>
      <c r="R89" s="25">
        <v>5</v>
      </c>
      <c r="S89" s="28">
        <f t="shared" si="5"/>
        <v>71</v>
      </c>
    </row>
    <row r="90" spans="2:19" x14ac:dyDescent="0.3">
      <c r="B90" s="8">
        <v>76</v>
      </c>
      <c r="C90" s="80" t="s">
        <v>114</v>
      </c>
      <c r="D90" s="48"/>
      <c r="E90" s="73">
        <v>6</v>
      </c>
      <c r="F90" s="73">
        <v>6</v>
      </c>
      <c r="G90" s="73"/>
      <c r="H90" s="73">
        <v>6</v>
      </c>
      <c r="I90" s="73">
        <v>6</v>
      </c>
      <c r="J90" s="26">
        <f t="shared" si="3"/>
        <v>24</v>
      </c>
      <c r="K90" s="26">
        <v>18</v>
      </c>
      <c r="L90" s="78">
        <v>4</v>
      </c>
      <c r="M90" s="78">
        <v>4</v>
      </c>
      <c r="N90" s="78">
        <v>4</v>
      </c>
      <c r="O90" s="78">
        <v>4</v>
      </c>
      <c r="P90" s="78">
        <v>4</v>
      </c>
      <c r="Q90" s="26">
        <f t="shared" si="4"/>
        <v>20</v>
      </c>
      <c r="R90" s="25">
        <v>5</v>
      </c>
      <c r="S90" s="28">
        <f t="shared" si="5"/>
        <v>67</v>
      </c>
    </row>
    <row r="91" spans="2:19" x14ac:dyDescent="0.3">
      <c r="B91" s="8">
        <v>77</v>
      </c>
      <c r="C91" s="80" t="s">
        <v>115</v>
      </c>
      <c r="D91" s="48"/>
      <c r="E91" s="73">
        <v>6</v>
      </c>
      <c r="F91" s="73"/>
      <c r="G91" s="73">
        <v>5</v>
      </c>
      <c r="H91" s="73">
        <v>6</v>
      </c>
      <c r="I91" s="73">
        <v>5</v>
      </c>
      <c r="J91" s="26">
        <f t="shared" si="3"/>
        <v>22</v>
      </c>
      <c r="K91" s="26">
        <v>19</v>
      </c>
      <c r="L91" s="78">
        <v>4</v>
      </c>
      <c r="M91" s="78">
        <v>4</v>
      </c>
      <c r="N91" s="78">
        <v>3</v>
      </c>
      <c r="O91" s="78">
        <v>3</v>
      </c>
      <c r="P91" s="78">
        <v>3</v>
      </c>
      <c r="Q91" s="26">
        <f t="shared" si="4"/>
        <v>17</v>
      </c>
      <c r="R91" s="25">
        <v>5</v>
      </c>
      <c r="S91" s="28">
        <f t="shared" si="5"/>
        <v>63</v>
      </c>
    </row>
    <row r="92" spans="2:19" x14ac:dyDescent="0.3">
      <c r="B92" s="8">
        <v>78</v>
      </c>
      <c r="C92" s="80" t="s">
        <v>116</v>
      </c>
      <c r="D92" s="48"/>
      <c r="E92" s="73">
        <v>5</v>
      </c>
      <c r="F92" s="73">
        <v>5</v>
      </c>
      <c r="G92" s="73">
        <v>5</v>
      </c>
      <c r="H92" s="73">
        <v>5</v>
      </c>
      <c r="I92" s="73">
        <v>5</v>
      </c>
      <c r="J92" s="26">
        <f t="shared" si="3"/>
        <v>25</v>
      </c>
      <c r="K92" s="26">
        <v>12</v>
      </c>
      <c r="L92" s="78"/>
      <c r="M92" s="78">
        <v>4</v>
      </c>
      <c r="N92" s="78">
        <v>4</v>
      </c>
      <c r="O92" s="78"/>
      <c r="P92" s="78">
        <v>4</v>
      </c>
      <c r="Q92" s="26">
        <f t="shared" si="4"/>
        <v>12</v>
      </c>
      <c r="R92" s="25">
        <v>5</v>
      </c>
      <c r="S92" s="28">
        <f t="shared" si="5"/>
        <v>54</v>
      </c>
    </row>
    <row r="93" spans="2:19" x14ac:dyDescent="0.3">
      <c r="B93" s="8">
        <v>79</v>
      </c>
      <c r="C93" s="80" t="s">
        <v>117</v>
      </c>
      <c r="D93" s="48"/>
      <c r="E93" s="73">
        <v>6</v>
      </c>
      <c r="F93" s="73">
        <v>6</v>
      </c>
      <c r="G93" s="73">
        <v>6</v>
      </c>
      <c r="H93" s="73">
        <v>6</v>
      </c>
      <c r="I93" s="73">
        <v>6</v>
      </c>
      <c r="J93" s="26">
        <f t="shared" si="3"/>
        <v>30</v>
      </c>
      <c r="K93" s="26">
        <v>16</v>
      </c>
      <c r="L93" s="78">
        <v>4</v>
      </c>
      <c r="M93" s="78">
        <v>4</v>
      </c>
      <c r="N93" s="78">
        <v>4</v>
      </c>
      <c r="O93" s="78">
        <v>4</v>
      </c>
      <c r="P93" s="78">
        <v>4</v>
      </c>
      <c r="Q93" s="26">
        <f t="shared" si="4"/>
        <v>20</v>
      </c>
      <c r="R93" s="25">
        <v>5</v>
      </c>
      <c r="S93" s="28">
        <f t="shared" si="5"/>
        <v>71</v>
      </c>
    </row>
    <row r="94" spans="2:19" x14ac:dyDescent="0.3">
      <c r="B94" s="8">
        <v>80</v>
      </c>
      <c r="C94" s="80" t="s">
        <v>118</v>
      </c>
      <c r="D94" s="48"/>
      <c r="E94" s="73">
        <v>6</v>
      </c>
      <c r="F94" s="73">
        <v>5</v>
      </c>
      <c r="G94" s="73">
        <v>5</v>
      </c>
      <c r="H94" s="73">
        <v>5</v>
      </c>
      <c r="I94" s="73">
        <v>6</v>
      </c>
      <c r="J94" s="26">
        <f t="shared" si="3"/>
        <v>27</v>
      </c>
      <c r="K94" s="26">
        <v>19</v>
      </c>
      <c r="L94" s="78">
        <v>4</v>
      </c>
      <c r="M94" s="78">
        <v>4</v>
      </c>
      <c r="N94" s="78">
        <v>4</v>
      </c>
      <c r="O94" s="78">
        <v>4</v>
      </c>
      <c r="P94" s="78">
        <v>3</v>
      </c>
      <c r="Q94" s="26">
        <f t="shared" si="4"/>
        <v>19</v>
      </c>
      <c r="R94" s="25">
        <v>5</v>
      </c>
      <c r="S94" s="28">
        <f t="shared" si="5"/>
        <v>70</v>
      </c>
    </row>
    <row r="95" spans="2:19" x14ac:dyDescent="0.3">
      <c r="B95" s="8">
        <v>81</v>
      </c>
      <c r="C95" s="80" t="s">
        <v>119</v>
      </c>
      <c r="D95" s="48"/>
      <c r="E95" s="73">
        <v>6</v>
      </c>
      <c r="F95" s="73">
        <v>6</v>
      </c>
      <c r="G95" s="73">
        <v>5</v>
      </c>
      <c r="H95" s="73">
        <v>6</v>
      </c>
      <c r="I95" s="73">
        <v>6</v>
      </c>
      <c r="J95" s="26">
        <f t="shared" si="3"/>
        <v>29</v>
      </c>
      <c r="K95" s="26">
        <v>17</v>
      </c>
      <c r="L95" s="78">
        <v>4</v>
      </c>
      <c r="M95" s="78">
        <v>4</v>
      </c>
      <c r="N95" s="78">
        <v>4</v>
      </c>
      <c r="O95" s="78">
        <v>3</v>
      </c>
      <c r="P95" s="78">
        <v>4</v>
      </c>
      <c r="Q95" s="26">
        <f t="shared" si="4"/>
        <v>19</v>
      </c>
      <c r="R95" s="25">
        <v>5</v>
      </c>
      <c r="S95" s="28">
        <f t="shared" si="5"/>
        <v>70</v>
      </c>
    </row>
    <row r="96" spans="2:19" x14ac:dyDescent="0.3">
      <c r="B96" s="8">
        <v>82</v>
      </c>
      <c r="C96" s="80" t="s">
        <v>120</v>
      </c>
      <c r="D96" s="48"/>
      <c r="E96" s="73">
        <v>6</v>
      </c>
      <c r="F96" s="73">
        <v>6</v>
      </c>
      <c r="G96" s="73">
        <v>5</v>
      </c>
      <c r="H96" s="73">
        <v>6</v>
      </c>
      <c r="I96" s="73">
        <v>6</v>
      </c>
      <c r="J96" s="26">
        <f t="shared" si="3"/>
        <v>29</v>
      </c>
      <c r="K96" s="26">
        <v>16</v>
      </c>
      <c r="L96" s="78">
        <v>4</v>
      </c>
      <c r="M96" s="78">
        <v>4</v>
      </c>
      <c r="N96" s="78">
        <v>3</v>
      </c>
      <c r="O96" s="78">
        <v>3</v>
      </c>
      <c r="P96" s="78">
        <v>4</v>
      </c>
      <c r="Q96" s="26">
        <f t="shared" si="4"/>
        <v>18</v>
      </c>
      <c r="R96" s="25">
        <v>5</v>
      </c>
      <c r="S96" s="28">
        <f t="shared" si="5"/>
        <v>68</v>
      </c>
    </row>
    <row r="97" spans="2:19" x14ac:dyDescent="0.3">
      <c r="B97" s="8">
        <v>83</v>
      </c>
      <c r="C97" s="80" t="s">
        <v>121</v>
      </c>
      <c r="D97" s="48"/>
      <c r="E97" s="73">
        <v>6</v>
      </c>
      <c r="F97" s="73">
        <v>6</v>
      </c>
      <c r="G97" s="73">
        <v>6</v>
      </c>
      <c r="H97" s="73">
        <v>6</v>
      </c>
      <c r="I97" s="73">
        <v>6</v>
      </c>
      <c r="J97" s="26">
        <f t="shared" si="3"/>
        <v>30</v>
      </c>
      <c r="K97" s="26">
        <v>19</v>
      </c>
      <c r="L97" s="78">
        <v>4</v>
      </c>
      <c r="M97" s="78">
        <v>4</v>
      </c>
      <c r="N97" s="78">
        <v>4</v>
      </c>
      <c r="O97" s="78">
        <v>4</v>
      </c>
      <c r="P97" s="78">
        <v>4</v>
      </c>
      <c r="Q97" s="26">
        <f t="shared" si="4"/>
        <v>20</v>
      </c>
      <c r="R97" s="25">
        <v>5</v>
      </c>
      <c r="S97" s="28">
        <f t="shared" si="5"/>
        <v>74</v>
      </c>
    </row>
    <row r="98" spans="2:19" x14ac:dyDescent="0.3">
      <c r="B98" s="8">
        <v>84</v>
      </c>
      <c r="C98" s="80" t="s">
        <v>122</v>
      </c>
      <c r="D98" s="48"/>
      <c r="E98" s="73">
        <v>6</v>
      </c>
      <c r="F98" s="73">
        <v>6</v>
      </c>
      <c r="G98" s="73">
        <v>6</v>
      </c>
      <c r="H98" s="73">
        <v>6</v>
      </c>
      <c r="I98" s="73">
        <v>6</v>
      </c>
      <c r="J98" s="26">
        <f t="shared" si="3"/>
        <v>30</v>
      </c>
      <c r="K98" s="26">
        <v>16</v>
      </c>
      <c r="L98" s="78">
        <v>4</v>
      </c>
      <c r="M98" s="78">
        <v>4</v>
      </c>
      <c r="N98" s="78">
        <v>4</v>
      </c>
      <c r="O98" s="78">
        <v>4</v>
      </c>
      <c r="P98" s="78">
        <v>4</v>
      </c>
      <c r="Q98" s="26">
        <f t="shared" si="4"/>
        <v>20</v>
      </c>
      <c r="R98" s="25">
        <v>5</v>
      </c>
      <c r="S98" s="28">
        <f t="shared" si="5"/>
        <v>71</v>
      </c>
    </row>
    <row r="99" spans="2:19" x14ac:dyDescent="0.3">
      <c r="B99" s="8">
        <v>85</v>
      </c>
      <c r="C99" s="80" t="s">
        <v>123</v>
      </c>
      <c r="D99" s="48"/>
      <c r="E99" s="73">
        <v>6</v>
      </c>
      <c r="F99" s="73">
        <v>6</v>
      </c>
      <c r="G99" s="73">
        <v>6</v>
      </c>
      <c r="H99" s="73">
        <v>6</v>
      </c>
      <c r="I99" s="73">
        <v>6</v>
      </c>
      <c r="J99" s="26">
        <f t="shared" si="3"/>
        <v>30</v>
      </c>
      <c r="K99" s="26">
        <v>15</v>
      </c>
      <c r="L99" s="78">
        <v>4</v>
      </c>
      <c r="M99" s="78">
        <v>4</v>
      </c>
      <c r="N99" s="78">
        <v>4</v>
      </c>
      <c r="O99" s="78">
        <v>4</v>
      </c>
      <c r="P99" s="78">
        <v>4</v>
      </c>
      <c r="Q99" s="26">
        <f t="shared" si="4"/>
        <v>20</v>
      </c>
      <c r="R99" s="25">
        <v>5</v>
      </c>
      <c r="S99" s="28">
        <f t="shared" si="5"/>
        <v>70</v>
      </c>
    </row>
    <row r="100" spans="2:19" x14ac:dyDescent="0.3">
      <c r="B100" s="8">
        <v>86</v>
      </c>
      <c r="C100" s="80" t="s">
        <v>124</v>
      </c>
      <c r="D100" s="48"/>
      <c r="E100" s="73">
        <v>6</v>
      </c>
      <c r="F100" s="73">
        <v>6</v>
      </c>
      <c r="G100" s="73">
        <v>6</v>
      </c>
      <c r="H100" s="73">
        <v>6</v>
      </c>
      <c r="I100" s="73">
        <v>6</v>
      </c>
      <c r="J100" s="26">
        <f t="shared" si="3"/>
        <v>30</v>
      </c>
      <c r="K100" s="26">
        <v>16</v>
      </c>
      <c r="L100" s="78">
        <v>4</v>
      </c>
      <c r="M100" s="78">
        <v>4</v>
      </c>
      <c r="N100" s="78">
        <v>4</v>
      </c>
      <c r="O100" s="78">
        <v>4</v>
      </c>
      <c r="P100" s="78">
        <v>4</v>
      </c>
      <c r="Q100" s="26">
        <f t="shared" si="4"/>
        <v>20</v>
      </c>
      <c r="R100" s="25">
        <v>5</v>
      </c>
      <c r="S100" s="28">
        <f t="shared" si="5"/>
        <v>71</v>
      </c>
    </row>
    <row r="101" spans="2:19" x14ac:dyDescent="0.3">
      <c r="B101" s="8">
        <v>87</v>
      </c>
      <c r="C101" s="80" t="s">
        <v>125</v>
      </c>
      <c r="D101" s="48"/>
      <c r="E101" s="73">
        <v>6</v>
      </c>
      <c r="F101" s="73">
        <v>5</v>
      </c>
      <c r="G101" s="73">
        <v>6</v>
      </c>
      <c r="H101" s="73">
        <v>6</v>
      </c>
      <c r="I101" s="73">
        <v>6</v>
      </c>
      <c r="J101" s="26">
        <f t="shared" si="3"/>
        <v>29</v>
      </c>
      <c r="K101" s="26">
        <v>16</v>
      </c>
      <c r="L101" s="78"/>
      <c r="M101" s="78">
        <v>4</v>
      </c>
      <c r="N101" s="78">
        <v>4</v>
      </c>
      <c r="O101" s="78">
        <v>4</v>
      </c>
      <c r="P101" s="78">
        <v>4</v>
      </c>
      <c r="Q101" s="26">
        <f t="shared" si="4"/>
        <v>16</v>
      </c>
      <c r="R101" s="25">
        <v>5</v>
      </c>
      <c r="S101" s="28">
        <f t="shared" si="5"/>
        <v>66</v>
      </c>
    </row>
    <row r="102" spans="2:19" x14ac:dyDescent="0.3">
      <c r="B102" s="8">
        <v>88</v>
      </c>
      <c r="C102" s="80" t="s">
        <v>126</v>
      </c>
      <c r="D102" s="48"/>
      <c r="E102" s="73">
        <v>6</v>
      </c>
      <c r="F102" s="73"/>
      <c r="G102" s="73">
        <v>6</v>
      </c>
      <c r="H102" s="73">
        <v>6</v>
      </c>
      <c r="I102" s="73"/>
      <c r="J102" s="26">
        <f t="shared" si="3"/>
        <v>18</v>
      </c>
      <c r="K102" s="26">
        <v>16</v>
      </c>
      <c r="L102" s="78">
        <v>4</v>
      </c>
      <c r="M102" s="78">
        <v>4</v>
      </c>
      <c r="N102" s="78">
        <v>4</v>
      </c>
      <c r="O102" s="78"/>
      <c r="P102" s="78"/>
      <c r="Q102" s="26">
        <f t="shared" si="4"/>
        <v>12</v>
      </c>
      <c r="R102" s="25">
        <v>5</v>
      </c>
      <c r="S102" s="28">
        <f t="shared" si="5"/>
        <v>51</v>
      </c>
    </row>
    <row r="103" spans="2:19" x14ac:dyDescent="0.3">
      <c r="B103" s="8">
        <v>89</v>
      </c>
      <c r="C103" s="80" t="s">
        <v>127</v>
      </c>
      <c r="D103" s="48"/>
      <c r="E103" s="73">
        <v>6</v>
      </c>
      <c r="F103" s="73">
        <v>6</v>
      </c>
      <c r="G103" s="73">
        <v>6</v>
      </c>
      <c r="H103" s="73">
        <v>6</v>
      </c>
      <c r="I103" s="73">
        <v>6</v>
      </c>
      <c r="J103" s="26">
        <f t="shared" si="3"/>
        <v>30</v>
      </c>
      <c r="K103" s="26">
        <v>18</v>
      </c>
      <c r="L103" s="78">
        <v>4</v>
      </c>
      <c r="M103" s="78">
        <v>4</v>
      </c>
      <c r="N103" s="78">
        <v>4</v>
      </c>
      <c r="O103" s="78">
        <v>4</v>
      </c>
      <c r="P103" s="78">
        <v>4</v>
      </c>
      <c r="Q103" s="26">
        <f t="shared" si="4"/>
        <v>20</v>
      </c>
      <c r="R103" s="25">
        <v>5</v>
      </c>
      <c r="S103" s="28">
        <f t="shared" si="5"/>
        <v>73</v>
      </c>
    </row>
    <row r="104" spans="2:19" x14ac:dyDescent="0.3">
      <c r="B104" s="8">
        <v>90</v>
      </c>
      <c r="C104" s="80" t="s">
        <v>128</v>
      </c>
      <c r="D104" s="48"/>
      <c r="E104" s="73">
        <v>6</v>
      </c>
      <c r="F104" s="73">
        <v>6</v>
      </c>
      <c r="G104" s="73"/>
      <c r="H104" s="73">
        <v>6</v>
      </c>
      <c r="I104" s="73">
        <v>6</v>
      </c>
      <c r="J104" s="26">
        <f t="shared" si="3"/>
        <v>24</v>
      </c>
      <c r="K104" s="26">
        <v>15</v>
      </c>
      <c r="L104" s="78">
        <v>4</v>
      </c>
      <c r="M104" s="78">
        <v>4</v>
      </c>
      <c r="N104" s="78">
        <v>4</v>
      </c>
      <c r="O104" s="78">
        <v>4</v>
      </c>
      <c r="P104" s="78">
        <v>4</v>
      </c>
      <c r="Q104" s="26">
        <f t="shared" si="4"/>
        <v>20</v>
      </c>
      <c r="R104" s="25">
        <v>5</v>
      </c>
      <c r="S104" s="28">
        <f t="shared" si="5"/>
        <v>64</v>
      </c>
    </row>
    <row r="105" spans="2:19" x14ac:dyDescent="0.3">
      <c r="B105" s="8">
        <v>91</v>
      </c>
      <c r="C105" s="80" t="s">
        <v>129</v>
      </c>
      <c r="D105" s="48"/>
      <c r="E105" s="73">
        <v>6</v>
      </c>
      <c r="F105" s="73">
        <v>6</v>
      </c>
      <c r="G105" s="73"/>
      <c r="H105" s="73"/>
      <c r="I105" s="73">
        <v>4</v>
      </c>
      <c r="J105" s="26">
        <f t="shared" si="3"/>
        <v>16</v>
      </c>
      <c r="K105" s="26">
        <v>16</v>
      </c>
      <c r="L105" s="78">
        <v>4</v>
      </c>
      <c r="M105" s="78">
        <v>4</v>
      </c>
      <c r="N105" s="78">
        <v>4</v>
      </c>
      <c r="O105" s="78">
        <v>4</v>
      </c>
      <c r="P105" s="78">
        <v>4</v>
      </c>
      <c r="Q105" s="26">
        <f t="shared" si="4"/>
        <v>20</v>
      </c>
      <c r="R105" s="25">
        <v>5</v>
      </c>
      <c r="S105" s="28">
        <f t="shared" si="5"/>
        <v>57</v>
      </c>
    </row>
    <row r="106" spans="2:19" x14ac:dyDescent="0.3">
      <c r="B106" s="8">
        <v>92</v>
      </c>
      <c r="C106" s="80" t="s">
        <v>130</v>
      </c>
      <c r="D106" s="48"/>
      <c r="E106" s="73">
        <v>6</v>
      </c>
      <c r="F106" s="73">
        <v>6</v>
      </c>
      <c r="G106" s="73">
        <v>6</v>
      </c>
      <c r="H106" s="73">
        <v>6</v>
      </c>
      <c r="I106" s="73">
        <v>6</v>
      </c>
      <c r="J106" s="26">
        <f t="shared" si="3"/>
        <v>30</v>
      </c>
      <c r="K106" s="26">
        <v>17</v>
      </c>
      <c r="L106" s="78">
        <v>4</v>
      </c>
      <c r="M106" s="78">
        <v>4</v>
      </c>
      <c r="N106" s="78">
        <v>4</v>
      </c>
      <c r="O106" s="78">
        <v>4</v>
      </c>
      <c r="P106" s="78">
        <v>4</v>
      </c>
      <c r="Q106" s="26">
        <f t="shared" si="4"/>
        <v>20</v>
      </c>
      <c r="R106" s="25">
        <v>5</v>
      </c>
      <c r="S106" s="28">
        <f t="shared" si="5"/>
        <v>72</v>
      </c>
    </row>
    <row r="107" spans="2:19" x14ac:dyDescent="0.3">
      <c r="B107" s="8">
        <v>93</v>
      </c>
      <c r="C107" s="80" t="s">
        <v>131</v>
      </c>
      <c r="D107" s="48"/>
      <c r="E107" s="73">
        <v>6</v>
      </c>
      <c r="F107" s="73">
        <v>6</v>
      </c>
      <c r="G107" s="73">
        <v>6</v>
      </c>
      <c r="H107" s="73">
        <v>6</v>
      </c>
      <c r="I107" s="73">
        <v>6</v>
      </c>
      <c r="J107" s="26">
        <f t="shared" si="3"/>
        <v>30</v>
      </c>
      <c r="K107" s="26">
        <v>19</v>
      </c>
      <c r="L107" s="78">
        <v>4</v>
      </c>
      <c r="M107" s="78">
        <v>4</v>
      </c>
      <c r="N107" s="78">
        <v>4</v>
      </c>
      <c r="O107" s="78">
        <v>4</v>
      </c>
      <c r="P107" s="78">
        <v>4</v>
      </c>
      <c r="Q107" s="26">
        <f t="shared" si="4"/>
        <v>20</v>
      </c>
      <c r="R107" s="25">
        <v>5</v>
      </c>
      <c r="S107" s="28">
        <f t="shared" si="5"/>
        <v>74</v>
      </c>
    </row>
    <row r="108" spans="2:19" x14ac:dyDescent="0.3">
      <c r="B108" s="8">
        <v>94</v>
      </c>
      <c r="C108" s="80" t="s">
        <v>132</v>
      </c>
      <c r="D108" s="48"/>
      <c r="E108" s="73">
        <v>6</v>
      </c>
      <c r="F108" s="73">
        <v>6</v>
      </c>
      <c r="G108" s="73">
        <v>6</v>
      </c>
      <c r="H108" s="73">
        <v>6</v>
      </c>
      <c r="I108" s="73">
        <v>6</v>
      </c>
      <c r="J108" s="26">
        <f t="shared" si="3"/>
        <v>30</v>
      </c>
      <c r="K108" s="26">
        <v>15</v>
      </c>
      <c r="L108" s="78">
        <v>4</v>
      </c>
      <c r="M108" s="78">
        <v>4</v>
      </c>
      <c r="N108" s="78">
        <v>4</v>
      </c>
      <c r="O108" s="78">
        <v>4</v>
      </c>
      <c r="P108" s="78">
        <v>4</v>
      </c>
      <c r="Q108" s="26">
        <f t="shared" si="4"/>
        <v>20</v>
      </c>
      <c r="R108" s="25">
        <v>5</v>
      </c>
      <c r="S108" s="28">
        <f t="shared" si="5"/>
        <v>70</v>
      </c>
    </row>
    <row r="109" spans="2:19" x14ac:dyDescent="0.3">
      <c r="B109" s="8">
        <v>95</v>
      </c>
      <c r="C109" s="80" t="s">
        <v>133</v>
      </c>
      <c r="D109" s="48"/>
      <c r="E109" s="73">
        <v>6</v>
      </c>
      <c r="F109" s="73">
        <v>6</v>
      </c>
      <c r="G109" s="73">
        <v>6</v>
      </c>
      <c r="H109" s="73">
        <v>6</v>
      </c>
      <c r="I109" s="73">
        <v>6</v>
      </c>
      <c r="J109" s="26">
        <f t="shared" si="3"/>
        <v>30</v>
      </c>
      <c r="K109" s="26">
        <v>17</v>
      </c>
      <c r="L109" s="78">
        <v>4</v>
      </c>
      <c r="M109" s="78">
        <v>4</v>
      </c>
      <c r="N109" s="78">
        <v>4</v>
      </c>
      <c r="O109" s="78">
        <v>4</v>
      </c>
      <c r="P109" s="78">
        <v>4</v>
      </c>
      <c r="Q109" s="26">
        <f t="shared" si="4"/>
        <v>20</v>
      </c>
      <c r="R109" s="25">
        <v>5</v>
      </c>
      <c r="S109" s="28">
        <f t="shared" si="5"/>
        <v>72</v>
      </c>
    </row>
    <row r="110" spans="2:19" x14ac:dyDescent="0.3">
      <c r="B110" s="8">
        <v>96</v>
      </c>
      <c r="C110" s="80" t="s">
        <v>134</v>
      </c>
      <c r="D110" s="48"/>
      <c r="E110" s="73">
        <v>6</v>
      </c>
      <c r="F110" s="73">
        <v>6</v>
      </c>
      <c r="G110" s="73">
        <v>6</v>
      </c>
      <c r="H110" s="73">
        <v>6</v>
      </c>
      <c r="I110" s="73">
        <v>6</v>
      </c>
      <c r="J110" s="26">
        <f t="shared" si="3"/>
        <v>30</v>
      </c>
      <c r="K110" s="26">
        <v>15</v>
      </c>
      <c r="L110" s="78">
        <v>4</v>
      </c>
      <c r="M110" s="78">
        <v>4</v>
      </c>
      <c r="N110" s="78">
        <v>4</v>
      </c>
      <c r="O110" s="78">
        <v>4</v>
      </c>
      <c r="P110" s="78">
        <v>4</v>
      </c>
      <c r="Q110" s="26">
        <f t="shared" si="4"/>
        <v>20</v>
      </c>
      <c r="R110" s="25">
        <v>5</v>
      </c>
      <c r="S110" s="28">
        <f t="shared" si="5"/>
        <v>70</v>
      </c>
    </row>
    <row r="111" spans="2:19" x14ac:dyDescent="0.3">
      <c r="B111" s="8">
        <v>97</v>
      </c>
      <c r="C111" s="80" t="s">
        <v>135</v>
      </c>
      <c r="D111" s="48"/>
      <c r="E111" s="73">
        <v>6</v>
      </c>
      <c r="F111" s="73">
        <v>6</v>
      </c>
      <c r="G111" s="73">
        <v>6</v>
      </c>
      <c r="H111" s="73">
        <v>6</v>
      </c>
      <c r="I111" s="73">
        <v>6</v>
      </c>
      <c r="J111" s="26">
        <f t="shared" si="3"/>
        <v>30</v>
      </c>
      <c r="K111" s="26">
        <v>15</v>
      </c>
      <c r="L111" s="78">
        <v>4</v>
      </c>
      <c r="M111" s="78">
        <v>4</v>
      </c>
      <c r="N111" s="78">
        <v>4</v>
      </c>
      <c r="O111" s="78">
        <v>4</v>
      </c>
      <c r="P111" s="78">
        <v>4</v>
      </c>
      <c r="Q111" s="26">
        <f t="shared" si="4"/>
        <v>20</v>
      </c>
      <c r="R111" s="25">
        <v>5</v>
      </c>
      <c r="S111" s="28">
        <f t="shared" si="5"/>
        <v>70</v>
      </c>
    </row>
    <row r="112" spans="2:19" x14ac:dyDescent="0.3">
      <c r="B112" s="8">
        <v>98</v>
      </c>
      <c r="C112" s="80" t="s">
        <v>136</v>
      </c>
      <c r="D112" s="48"/>
      <c r="E112" s="73">
        <v>6</v>
      </c>
      <c r="F112" s="73">
        <v>6</v>
      </c>
      <c r="G112" s="73">
        <v>6</v>
      </c>
      <c r="H112" s="73">
        <v>6</v>
      </c>
      <c r="I112" s="73">
        <v>6</v>
      </c>
      <c r="J112" s="26">
        <f t="shared" si="3"/>
        <v>30</v>
      </c>
      <c r="K112" s="26">
        <v>16</v>
      </c>
      <c r="L112" s="78">
        <v>4</v>
      </c>
      <c r="M112" s="78">
        <v>4</v>
      </c>
      <c r="N112" s="78">
        <v>4</v>
      </c>
      <c r="O112" s="78">
        <v>4</v>
      </c>
      <c r="P112" s="78">
        <v>4</v>
      </c>
      <c r="Q112" s="26">
        <f t="shared" si="4"/>
        <v>20</v>
      </c>
      <c r="R112" s="25">
        <v>5</v>
      </c>
      <c r="S112" s="28">
        <f t="shared" si="5"/>
        <v>71</v>
      </c>
    </row>
    <row r="113" spans="2:19" x14ac:dyDescent="0.3">
      <c r="B113" s="8">
        <v>99</v>
      </c>
      <c r="C113" s="80" t="s">
        <v>137</v>
      </c>
      <c r="D113" s="48"/>
      <c r="E113" s="73">
        <v>6</v>
      </c>
      <c r="F113" s="73">
        <v>6</v>
      </c>
      <c r="G113" s="73">
        <v>6</v>
      </c>
      <c r="H113" s="73">
        <v>6</v>
      </c>
      <c r="I113" s="73">
        <v>6</v>
      </c>
      <c r="J113" s="26">
        <f t="shared" si="3"/>
        <v>30</v>
      </c>
      <c r="K113" s="26">
        <v>16</v>
      </c>
      <c r="L113" s="78">
        <v>4</v>
      </c>
      <c r="M113" s="78">
        <v>4</v>
      </c>
      <c r="N113" s="78">
        <v>4</v>
      </c>
      <c r="O113" s="78">
        <v>4</v>
      </c>
      <c r="P113" s="78">
        <v>4</v>
      </c>
      <c r="Q113" s="26">
        <f t="shared" si="4"/>
        <v>20</v>
      </c>
      <c r="R113" s="25">
        <v>5</v>
      </c>
      <c r="S113" s="28">
        <f t="shared" si="5"/>
        <v>71</v>
      </c>
    </row>
    <row r="114" spans="2:19" x14ac:dyDescent="0.3">
      <c r="B114" s="8">
        <v>100</v>
      </c>
      <c r="C114" s="80" t="s">
        <v>138</v>
      </c>
      <c r="D114" s="48"/>
      <c r="E114" s="73">
        <v>6</v>
      </c>
      <c r="F114" s="73">
        <v>6</v>
      </c>
      <c r="G114" s="73">
        <v>6</v>
      </c>
      <c r="H114" s="73">
        <v>6</v>
      </c>
      <c r="I114" s="73">
        <v>6</v>
      </c>
      <c r="J114" s="26">
        <f t="shared" si="3"/>
        <v>30</v>
      </c>
      <c r="K114" s="26">
        <v>13</v>
      </c>
      <c r="L114" s="78">
        <v>4</v>
      </c>
      <c r="M114" s="78">
        <v>4</v>
      </c>
      <c r="N114" s="78">
        <v>4</v>
      </c>
      <c r="O114" s="78">
        <v>4</v>
      </c>
      <c r="P114" s="78">
        <v>4</v>
      </c>
      <c r="Q114" s="26">
        <f t="shared" si="4"/>
        <v>20</v>
      </c>
      <c r="R114" s="25">
        <v>5</v>
      </c>
      <c r="S114" s="28">
        <f t="shared" si="5"/>
        <v>68</v>
      </c>
    </row>
    <row r="115" spans="2:19" x14ac:dyDescent="0.3">
      <c r="B115" s="8">
        <v>101</v>
      </c>
      <c r="C115" s="80" t="s">
        <v>139</v>
      </c>
      <c r="D115" s="48"/>
      <c r="E115" s="73">
        <v>5</v>
      </c>
      <c r="F115" s="73">
        <v>5</v>
      </c>
      <c r="G115" s="73">
        <v>6</v>
      </c>
      <c r="H115" s="73">
        <v>5</v>
      </c>
      <c r="I115" s="73">
        <v>6</v>
      </c>
      <c r="J115" s="26">
        <f t="shared" si="3"/>
        <v>27</v>
      </c>
      <c r="K115" s="26">
        <v>17</v>
      </c>
      <c r="L115" s="78">
        <v>4</v>
      </c>
      <c r="M115" s="78">
        <v>4</v>
      </c>
      <c r="N115" s="78">
        <v>4</v>
      </c>
      <c r="O115" s="78">
        <v>4</v>
      </c>
      <c r="P115" s="78">
        <v>4</v>
      </c>
      <c r="Q115" s="26">
        <f t="shared" si="4"/>
        <v>20</v>
      </c>
      <c r="R115" s="25">
        <v>5</v>
      </c>
      <c r="S115" s="28">
        <f t="shared" si="5"/>
        <v>69</v>
      </c>
    </row>
    <row r="116" spans="2:19" x14ac:dyDescent="0.3">
      <c r="B116" s="8">
        <v>102</v>
      </c>
      <c r="C116" s="80" t="s">
        <v>140</v>
      </c>
      <c r="D116" s="48"/>
      <c r="E116" s="73">
        <v>6</v>
      </c>
      <c r="F116" s="73">
        <v>6</v>
      </c>
      <c r="G116" s="73">
        <v>6</v>
      </c>
      <c r="H116" s="73">
        <v>6</v>
      </c>
      <c r="I116" s="73">
        <v>6</v>
      </c>
      <c r="J116" s="26">
        <f t="shared" si="3"/>
        <v>30</v>
      </c>
      <c r="K116" s="26">
        <v>19</v>
      </c>
      <c r="L116" s="78">
        <v>4</v>
      </c>
      <c r="M116" s="78">
        <v>4</v>
      </c>
      <c r="N116" s="78">
        <v>4</v>
      </c>
      <c r="O116" s="78">
        <v>4</v>
      </c>
      <c r="P116" s="78">
        <v>4</v>
      </c>
      <c r="Q116" s="26">
        <f t="shared" si="4"/>
        <v>20</v>
      </c>
      <c r="R116" s="25">
        <v>5</v>
      </c>
      <c r="S116" s="28">
        <f t="shared" si="5"/>
        <v>74</v>
      </c>
    </row>
    <row r="117" spans="2:19" x14ac:dyDescent="0.3">
      <c r="B117" s="8">
        <v>103</v>
      </c>
      <c r="C117" s="80" t="s">
        <v>141</v>
      </c>
      <c r="D117" s="48"/>
      <c r="E117" s="73">
        <v>6</v>
      </c>
      <c r="F117" s="73">
        <v>6</v>
      </c>
      <c r="G117" s="73">
        <v>6</v>
      </c>
      <c r="H117" s="73">
        <v>6</v>
      </c>
      <c r="I117" s="73">
        <v>6</v>
      </c>
      <c r="J117" s="26">
        <f t="shared" si="3"/>
        <v>30</v>
      </c>
      <c r="K117" s="26">
        <v>16</v>
      </c>
      <c r="L117" s="78">
        <v>4</v>
      </c>
      <c r="M117" s="78">
        <v>4</v>
      </c>
      <c r="N117" s="78">
        <v>4</v>
      </c>
      <c r="O117" s="78">
        <v>4</v>
      </c>
      <c r="P117" s="78">
        <v>4</v>
      </c>
      <c r="Q117" s="26">
        <f t="shared" si="4"/>
        <v>20</v>
      </c>
      <c r="R117" s="25">
        <v>5</v>
      </c>
      <c r="S117" s="28">
        <f t="shared" si="5"/>
        <v>71</v>
      </c>
    </row>
    <row r="118" spans="2:19" x14ac:dyDescent="0.3">
      <c r="B118" s="8">
        <v>104</v>
      </c>
      <c r="C118" s="80" t="s">
        <v>142</v>
      </c>
      <c r="D118" s="48"/>
      <c r="E118" s="73">
        <v>6</v>
      </c>
      <c r="F118" s="73">
        <v>6</v>
      </c>
      <c r="G118" s="73">
        <v>6</v>
      </c>
      <c r="H118" s="73">
        <v>6</v>
      </c>
      <c r="I118" s="73">
        <v>6</v>
      </c>
      <c r="J118" s="26">
        <f t="shared" si="3"/>
        <v>30</v>
      </c>
      <c r="K118" s="26">
        <v>19</v>
      </c>
      <c r="L118" s="78">
        <v>4</v>
      </c>
      <c r="M118" s="78">
        <v>4</v>
      </c>
      <c r="N118" s="78">
        <v>4</v>
      </c>
      <c r="O118" s="78">
        <v>4</v>
      </c>
      <c r="P118" s="78">
        <v>4</v>
      </c>
      <c r="Q118" s="26">
        <f t="shared" si="4"/>
        <v>20</v>
      </c>
      <c r="R118" s="25">
        <v>5</v>
      </c>
      <c r="S118" s="28">
        <f t="shared" si="5"/>
        <v>74</v>
      </c>
    </row>
    <row r="119" spans="2:19" x14ac:dyDescent="0.3">
      <c r="B119" s="8">
        <v>105</v>
      </c>
      <c r="C119" s="80" t="s">
        <v>143</v>
      </c>
      <c r="D119" s="48"/>
      <c r="E119" s="73">
        <v>6</v>
      </c>
      <c r="F119" s="73">
        <v>6</v>
      </c>
      <c r="G119" s="73">
        <v>6</v>
      </c>
      <c r="H119" s="73">
        <v>6</v>
      </c>
      <c r="I119" s="73">
        <v>6</v>
      </c>
      <c r="J119" s="26">
        <f t="shared" si="3"/>
        <v>30</v>
      </c>
      <c r="K119" s="26">
        <v>18</v>
      </c>
      <c r="L119" s="78">
        <v>4</v>
      </c>
      <c r="M119" s="78">
        <v>4</v>
      </c>
      <c r="N119" s="78">
        <v>4</v>
      </c>
      <c r="O119" s="78">
        <v>4</v>
      </c>
      <c r="P119" s="78">
        <v>4</v>
      </c>
      <c r="Q119" s="26">
        <f t="shared" si="4"/>
        <v>20</v>
      </c>
      <c r="R119" s="25">
        <v>5</v>
      </c>
      <c r="S119" s="28">
        <f t="shared" si="5"/>
        <v>73</v>
      </c>
    </row>
    <row r="120" spans="2:19" x14ac:dyDescent="0.3">
      <c r="B120" s="8">
        <v>106</v>
      </c>
      <c r="C120" s="80" t="s">
        <v>144</v>
      </c>
      <c r="D120" s="48"/>
      <c r="E120" s="73">
        <v>6</v>
      </c>
      <c r="F120" s="73">
        <v>6</v>
      </c>
      <c r="G120" s="73">
        <v>6</v>
      </c>
      <c r="H120" s="73">
        <v>6</v>
      </c>
      <c r="I120" s="73">
        <v>6</v>
      </c>
      <c r="J120" s="26">
        <f t="shared" si="3"/>
        <v>30</v>
      </c>
      <c r="K120" s="26">
        <v>14</v>
      </c>
      <c r="L120" s="78">
        <v>4</v>
      </c>
      <c r="M120" s="78">
        <v>4</v>
      </c>
      <c r="N120" s="78">
        <v>4</v>
      </c>
      <c r="O120" s="78">
        <v>4</v>
      </c>
      <c r="P120" s="78">
        <v>4</v>
      </c>
      <c r="Q120" s="26">
        <f t="shared" si="4"/>
        <v>20</v>
      </c>
      <c r="R120" s="25">
        <v>5</v>
      </c>
      <c r="S120" s="28">
        <f t="shared" si="5"/>
        <v>69</v>
      </c>
    </row>
    <row r="121" spans="2:19" x14ac:dyDescent="0.3">
      <c r="B121" s="8">
        <v>107</v>
      </c>
      <c r="C121" s="80" t="s">
        <v>145</v>
      </c>
      <c r="D121" s="48"/>
      <c r="E121" s="73">
        <v>6</v>
      </c>
      <c r="F121" s="73">
        <v>6</v>
      </c>
      <c r="G121" s="73">
        <v>6</v>
      </c>
      <c r="H121" s="73">
        <v>6</v>
      </c>
      <c r="I121" s="73">
        <v>6</v>
      </c>
      <c r="J121" s="26">
        <f t="shared" si="3"/>
        <v>30</v>
      </c>
      <c r="K121" s="26">
        <v>13</v>
      </c>
      <c r="L121" s="78">
        <v>4</v>
      </c>
      <c r="M121" s="78">
        <v>4</v>
      </c>
      <c r="N121" s="78">
        <v>4</v>
      </c>
      <c r="O121" s="78">
        <v>4</v>
      </c>
      <c r="P121" s="78">
        <v>4</v>
      </c>
      <c r="Q121" s="26">
        <f t="shared" si="4"/>
        <v>20</v>
      </c>
      <c r="R121" s="25">
        <v>5</v>
      </c>
      <c r="S121" s="28">
        <f t="shared" si="5"/>
        <v>68</v>
      </c>
    </row>
    <row r="122" spans="2:19" x14ac:dyDescent="0.3">
      <c r="B122" s="8">
        <v>108</v>
      </c>
      <c r="C122" s="80" t="s">
        <v>146</v>
      </c>
      <c r="D122" s="48"/>
      <c r="E122" s="73">
        <v>6</v>
      </c>
      <c r="F122" s="73">
        <v>6</v>
      </c>
      <c r="G122" s="73">
        <v>6</v>
      </c>
      <c r="H122" s="73">
        <v>6</v>
      </c>
      <c r="I122" s="73">
        <v>6</v>
      </c>
      <c r="J122" s="26">
        <f t="shared" si="3"/>
        <v>30</v>
      </c>
      <c r="K122" s="26">
        <v>15</v>
      </c>
      <c r="L122" s="78">
        <v>4</v>
      </c>
      <c r="M122" s="78">
        <v>4</v>
      </c>
      <c r="N122" s="78">
        <v>4</v>
      </c>
      <c r="O122" s="78">
        <v>4</v>
      </c>
      <c r="P122" s="78">
        <v>4</v>
      </c>
      <c r="Q122" s="26">
        <f t="shared" si="4"/>
        <v>20</v>
      </c>
      <c r="R122" s="25">
        <v>5</v>
      </c>
      <c r="S122" s="28">
        <f t="shared" si="5"/>
        <v>70</v>
      </c>
    </row>
    <row r="123" spans="2:19" x14ac:dyDescent="0.3">
      <c r="B123" s="8">
        <v>109</v>
      </c>
      <c r="C123" s="80" t="s">
        <v>147</v>
      </c>
      <c r="D123" s="48"/>
      <c r="E123" s="73">
        <v>6</v>
      </c>
      <c r="F123" s="73">
        <v>6</v>
      </c>
      <c r="G123" s="73">
        <v>6</v>
      </c>
      <c r="H123" s="73">
        <v>6</v>
      </c>
      <c r="I123" s="73">
        <v>6</v>
      </c>
      <c r="J123" s="26">
        <f t="shared" si="3"/>
        <v>30</v>
      </c>
      <c r="K123" s="26">
        <v>20</v>
      </c>
      <c r="L123" s="78">
        <v>4</v>
      </c>
      <c r="M123" s="78">
        <v>4</v>
      </c>
      <c r="N123" s="78">
        <v>4</v>
      </c>
      <c r="O123" s="78">
        <v>4</v>
      </c>
      <c r="P123" s="78">
        <v>4</v>
      </c>
      <c r="Q123" s="26">
        <f t="shared" si="4"/>
        <v>20</v>
      </c>
      <c r="R123" s="25">
        <v>5</v>
      </c>
      <c r="S123" s="28">
        <f t="shared" si="5"/>
        <v>75</v>
      </c>
    </row>
    <row r="124" spans="2:19" x14ac:dyDescent="0.3">
      <c r="B124" s="8">
        <v>110</v>
      </c>
      <c r="C124" s="80" t="s">
        <v>148</v>
      </c>
      <c r="D124" s="48"/>
      <c r="E124" s="73">
        <v>6</v>
      </c>
      <c r="F124" s="73">
        <v>6</v>
      </c>
      <c r="G124" s="73">
        <v>6</v>
      </c>
      <c r="H124" s="73">
        <v>6</v>
      </c>
      <c r="I124" s="73">
        <v>6</v>
      </c>
      <c r="J124" s="26">
        <f t="shared" si="3"/>
        <v>30</v>
      </c>
      <c r="K124" s="26">
        <v>17</v>
      </c>
      <c r="L124" s="78">
        <v>4</v>
      </c>
      <c r="M124" s="78">
        <v>4</v>
      </c>
      <c r="N124" s="78">
        <v>4</v>
      </c>
      <c r="O124" s="78">
        <v>4</v>
      </c>
      <c r="P124" s="78">
        <v>4</v>
      </c>
      <c r="Q124" s="26">
        <f t="shared" si="4"/>
        <v>20</v>
      </c>
      <c r="R124" s="25">
        <v>5</v>
      </c>
      <c r="S124" s="28">
        <f t="shared" si="5"/>
        <v>72</v>
      </c>
    </row>
    <row r="125" spans="2:19" x14ac:dyDescent="0.3">
      <c r="B125" s="8">
        <v>111</v>
      </c>
      <c r="C125" s="80" t="s">
        <v>149</v>
      </c>
      <c r="D125" s="48"/>
      <c r="E125" s="73">
        <v>6</v>
      </c>
      <c r="F125" s="73">
        <v>6</v>
      </c>
      <c r="G125" s="73">
        <v>6</v>
      </c>
      <c r="H125" s="73">
        <v>6</v>
      </c>
      <c r="I125" s="73">
        <v>6</v>
      </c>
      <c r="J125" s="26">
        <f t="shared" si="3"/>
        <v>30</v>
      </c>
      <c r="K125" s="26">
        <v>16</v>
      </c>
      <c r="L125" s="78">
        <v>4</v>
      </c>
      <c r="M125" s="78">
        <v>4</v>
      </c>
      <c r="N125" s="78">
        <v>4</v>
      </c>
      <c r="O125" s="78">
        <v>4</v>
      </c>
      <c r="P125" s="78">
        <v>4</v>
      </c>
      <c r="Q125" s="26">
        <f t="shared" si="4"/>
        <v>20</v>
      </c>
      <c r="R125" s="25">
        <v>5</v>
      </c>
      <c r="S125" s="28">
        <f t="shared" si="5"/>
        <v>71</v>
      </c>
    </row>
    <row r="126" spans="2:19" x14ac:dyDescent="0.3">
      <c r="B126" s="8">
        <v>112</v>
      </c>
      <c r="C126" s="80" t="s">
        <v>150</v>
      </c>
      <c r="D126" s="48"/>
      <c r="E126" s="73">
        <v>6</v>
      </c>
      <c r="F126" s="73">
        <v>6</v>
      </c>
      <c r="G126" s="73">
        <v>6</v>
      </c>
      <c r="H126" s="73">
        <v>6</v>
      </c>
      <c r="I126" s="73">
        <v>6</v>
      </c>
      <c r="J126" s="26">
        <f t="shared" si="3"/>
        <v>30</v>
      </c>
      <c r="K126" s="26">
        <v>15</v>
      </c>
      <c r="L126" s="78">
        <v>4</v>
      </c>
      <c r="M126" s="78">
        <v>4</v>
      </c>
      <c r="N126" s="78">
        <v>4</v>
      </c>
      <c r="O126" s="78">
        <v>4</v>
      </c>
      <c r="P126" s="78">
        <v>4</v>
      </c>
      <c r="Q126" s="26">
        <f t="shared" si="4"/>
        <v>20</v>
      </c>
      <c r="R126" s="25">
        <v>5</v>
      </c>
      <c r="S126" s="28">
        <f t="shared" si="5"/>
        <v>70</v>
      </c>
    </row>
    <row r="127" spans="2:19" x14ac:dyDescent="0.3">
      <c r="B127" s="8">
        <v>113</v>
      </c>
      <c r="C127" s="80" t="s">
        <v>151</v>
      </c>
      <c r="D127" s="48"/>
      <c r="E127" s="73">
        <v>6</v>
      </c>
      <c r="F127" s="73">
        <v>6</v>
      </c>
      <c r="G127" s="73">
        <v>6</v>
      </c>
      <c r="H127" s="73">
        <v>6</v>
      </c>
      <c r="I127" s="73">
        <v>6</v>
      </c>
      <c r="J127" s="26">
        <f t="shared" si="3"/>
        <v>30</v>
      </c>
      <c r="K127" s="26">
        <v>16</v>
      </c>
      <c r="L127" s="78">
        <v>4</v>
      </c>
      <c r="M127" s="78">
        <v>4</v>
      </c>
      <c r="N127" s="78">
        <v>4</v>
      </c>
      <c r="O127" s="78">
        <v>4</v>
      </c>
      <c r="P127" s="78">
        <v>4</v>
      </c>
      <c r="Q127" s="26">
        <f t="shared" si="4"/>
        <v>20</v>
      </c>
      <c r="R127" s="25">
        <v>5</v>
      </c>
      <c r="S127" s="28">
        <f t="shared" si="5"/>
        <v>71</v>
      </c>
    </row>
    <row r="128" spans="2:19" x14ac:dyDescent="0.3">
      <c r="B128" s="8">
        <v>114</v>
      </c>
      <c r="C128" s="80" t="s">
        <v>152</v>
      </c>
      <c r="D128" s="48"/>
      <c r="E128" s="73">
        <v>6</v>
      </c>
      <c r="F128" s="73">
        <v>6</v>
      </c>
      <c r="G128" s="73">
        <v>6</v>
      </c>
      <c r="H128" s="73">
        <v>6</v>
      </c>
      <c r="I128" s="73">
        <v>6</v>
      </c>
      <c r="J128" s="26">
        <f t="shared" si="3"/>
        <v>30</v>
      </c>
      <c r="K128" s="26">
        <v>18</v>
      </c>
      <c r="L128" s="78">
        <v>4</v>
      </c>
      <c r="M128" s="78">
        <v>4</v>
      </c>
      <c r="N128" s="78">
        <v>3</v>
      </c>
      <c r="O128" s="78">
        <v>4</v>
      </c>
      <c r="P128" s="78">
        <v>2</v>
      </c>
      <c r="Q128" s="26">
        <f t="shared" si="4"/>
        <v>17</v>
      </c>
      <c r="R128" s="25">
        <v>5</v>
      </c>
      <c r="S128" s="28">
        <f t="shared" si="5"/>
        <v>70</v>
      </c>
    </row>
    <row r="129" spans="2:19" x14ac:dyDescent="0.3">
      <c r="B129" s="8">
        <v>115</v>
      </c>
      <c r="C129" s="80" t="s">
        <v>153</v>
      </c>
      <c r="D129" s="48"/>
      <c r="E129" s="73">
        <v>6</v>
      </c>
      <c r="F129" s="73">
        <v>6</v>
      </c>
      <c r="G129" s="73">
        <v>6</v>
      </c>
      <c r="H129" s="73">
        <v>6</v>
      </c>
      <c r="I129" s="73">
        <v>6</v>
      </c>
      <c r="J129" s="26">
        <f t="shared" si="3"/>
        <v>30</v>
      </c>
      <c r="K129" s="26">
        <v>19</v>
      </c>
      <c r="L129" s="78">
        <v>4</v>
      </c>
      <c r="M129" s="78">
        <v>4</v>
      </c>
      <c r="N129" s="78">
        <v>4</v>
      </c>
      <c r="O129" s="78">
        <v>4</v>
      </c>
      <c r="P129" s="78">
        <v>4</v>
      </c>
      <c r="Q129" s="26">
        <f t="shared" si="4"/>
        <v>20</v>
      </c>
      <c r="R129" s="25">
        <v>5</v>
      </c>
      <c r="S129" s="28">
        <f t="shared" si="5"/>
        <v>74</v>
      </c>
    </row>
    <row r="130" spans="2:19" x14ac:dyDescent="0.3">
      <c r="B130" s="8">
        <v>116</v>
      </c>
      <c r="C130" s="80" t="s">
        <v>154</v>
      </c>
      <c r="D130" s="48"/>
      <c r="E130" s="73">
        <v>6</v>
      </c>
      <c r="F130" s="73">
        <v>6</v>
      </c>
      <c r="G130" s="73">
        <v>6</v>
      </c>
      <c r="H130" s="73">
        <v>6</v>
      </c>
      <c r="I130" s="73">
        <v>6</v>
      </c>
      <c r="J130" s="26">
        <f t="shared" si="3"/>
        <v>30</v>
      </c>
      <c r="K130" s="26">
        <v>19</v>
      </c>
      <c r="L130" s="78">
        <v>4</v>
      </c>
      <c r="M130" s="78">
        <v>4</v>
      </c>
      <c r="N130" s="78">
        <v>4</v>
      </c>
      <c r="O130" s="78">
        <v>4</v>
      </c>
      <c r="P130" s="78">
        <v>4</v>
      </c>
      <c r="Q130" s="26">
        <f t="shared" si="4"/>
        <v>20</v>
      </c>
      <c r="R130" s="25">
        <v>5</v>
      </c>
      <c r="S130" s="28">
        <f t="shared" si="5"/>
        <v>74</v>
      </c>
    </row>
    <row r="131" spans="2:19" x14ac:dyDescent="0.3">
      <c r="B131" s="8">
        <v>117</v>
      </c>
      <c r="C131" s="80" t="s">
        <v>155</v>
      </c>
      <c r="D131" s="48"/>
      <c r="E131" s="73">
        <v>6</v>
      </c>
      <c r="F131" s="73">
        <v>6</v>
      </c>
      <c r="G131" s="73">
        <v>6</v>
      </c>
      <c r="H131" s="73">
        <v>6</v>
      </c>
      <c r="I131" s="73">
        <v>6</v>
      </c>
      <c r="J131" s="26">
        <f t="shared" si="3"/>
        <v>30</v>
      </c>
      <c r="K131" s="26">
        <v>20</v>
      </c>
      <c r="L131" s="78">
        <v>4</v>
      </c>
      <c r="M131" s="78">
        <v>4</v>
      </c>
      <c r="N131" s="78">
        <v>4</v>
      </c>
      <c r="O131" s="78">
        <v>4</v>
      </c>
      <c r="P131" s="78">
        <v>4</v>
      </c>
      <c r="Q131" s="26">
        <f t="shared" si="4"/>
        <v>20</v>
      </c>
      <c r="R131" s="25">
        <v>5</v>
      </c>
      <c r="S131" s="28">
        <f t="shared" si="5"/>
        <v>75</v>
      </c>
    </row>
    <row r="132" spans="2:19" x14ac:dyDescent="0.3">
      <c r="B132" s="8">
        <v>118</v>
      </c>
      <c r="C132" s="80" t="s">
        <v>156</v>
      </c>
      <c r="D132" s="48"/>
      <c r="E132" s="73">
        <v>6</v>
      </c>
      <c r="F132" s="73">
        <v>1</v>
      </c>
      <c r="G132" s="73">
        <v>5</v>
      </c>
      <c r="H132" s="73"/>
      <c r="I132" s="73">
        <v>6</v>
      </c>
      <c r="J132" s="26">
        <f t="shared" si="3"/>
        <v>18</v>
      </c>
      <c r="K132" s="26">
        <v>15</v>
      </c>
      <c r="L132" s="78">
        <v>4</v>
      </c>
      <c r="M132" s="78">
        <v>4</v>
      </c>
      <c r="N132" s="78">
        <v>4</v>
      </c>
      <c r="O132" s="78">
        <v>4</v>
      </c>
      <c r="P132" s="78"/>
      <c r="Q132" s="26">
        <f t="shared" si="4"/>
        <v>16</v>
      </c>
      <c r="R132" s="25">
        <v>5</v>
      </c>
      <c r="S132" s="28">
        <f t="shared" si="5"/>
        <v>54</v>
      </c>
    </row>
    <row r="133" spans="2:19" x14ac:dyDescent="0.3">
      <c r="B133" s="8">
        <v>119</v>
      </c>
      <c r="C133" s="80" t="s">
        <v>157</v>
      </c>
      <c r="D133" s="48"/>
      <c r="E133" s="73">
        <v>5</v>
      </c>
      <c r="F133" s="73">
        <v>5</v>
      </c>
      <c r="G133" s="73">
        <v>6</v>
      </c>
      <c r="H133" s="73">
        <v>6</v>
      </c>
      <c r="I133" s="73">
        <v>6</v>
      </c>
      <c r="J133" s="26">
        <f t="shared" si="3"/>
        <v>28</v>
      </c>
      <c r="K133" s="26">
        <v>19</v>
      </c>
      <c r="L133" s="78">
        <v>4</v>
      </c>
      <c r="M133" s="78">
        <v>4</v>
      </c>
      <c r="N133" s="78">
        <v>3</v>
      </c>
      <c r="O133" s="78">
        <v>4</v>
      </c>
      <c r="P133" s="78">
        <v>4</v>
      </c>
      <c r="Q133" s="26">
        <f t="shared" si="4"/>
        <v>19</v>
      </c>
      <c r="R133" s="25">
        <v>5</v>
      </c>
      <c r="S133" s="28">
        <f t="shared" si="5"/>
        <v>71</v>
      </c>
    </row>
    <row r="134" spans="2:19" x14ac:dyDescent="0.3">
      <c r="B134" s="8">
        <v>120</v>
      </c>
      <c r="C134" s="80" t="s">
        <v>158</v>
      </c>
      <c r="D134" s="48"/>
      <c r="E134" s="73">
        <v>6</v>
      </c>
      <c r="F134" s="73">
        <v>6</v>
      </c>
      <c r="G134" s="73">
        <v>6</v>
      </c>
      <c r="H134" s="73">
        <v>6</v>
      </c>
      <c r="I134" s="73">
        <v>6</v>
      </c>
      <c r="J134" s="26">
        <f t="shared" si="3"/>
        <v>30</v>
      </c>
      <c r="K134" s="26">
        <v>9</v>
      </c>
      <c r="L134" s="80">
        <v>4</v>
      </c>
      <c r="M134" s="80">
        <v>4</v>
      </c>
      <c r="N134" s="80">
        <v>4</v>
      </c>
      <c r="O134" s="79">
        <v>4</v>
      </c>
      <c r="P134" s="80">
        <v>4</v>
      </c>
      <c r="Q134" s="26">
        <f t="shared" si="4"/>
        <v>20</v>
      </c>
      <c r="R134" s="25">
        <v>5</v>
      </c>
      <c r="S134" s="28">
        <f t="shared" si="5"/>
        <v>64</v>
      </c>
    </row>
    <row r="135" spans="2:19" x14ac:dyDescent="0.3">
      <c r="B135" s="8">
        <v>121</v>
      </c>
      <c r="C135" s="80" t="s">
        <v>159</v>
      </c>
      <c r="D135" s="48"/>
      <c r="E135" s="73">
        <v>6</v>
      </c>
      <c r="F135" s="73">
        <v>6</v>
      </c>
      <c r="G135" s="73">
        <v>6</v>
      </c>
      <c r="H135" s="73">
        <v>6</v>
      </c>
      <c r="I135" s="73">
        <v>6</v>
      </c>
      <c r="J135" s="26">
        <f t="shared" si="3"/>
        <v>30</v>
      </c>
      <c r="K135" s="26">
        <v>13</v>
      </c>
      <c r="L135" s="80">
        <v>4</v>
      </c>
      <c r="M135" s="80">
        <v>4</v>
      </c>
      <c r="N135" s="80">
        <v>4</v>
      </c>
      <c r="O135" s="79">
        <v>4</v>
      </c>
      <c r="P135" s="80">
        <v>4</v>
      </c>
      <c r="Q135" s="26">
        <f t="shared" si="4"/>
        <v>20</v>
      </c>
      <c r="R135" s="25">
        <v>5</v>
      </c>
      <c r="S135" s="28">
        <f t="shared" si="5"/>
        <v>68</v>
      </c>
    </row>
    <row r="136" spans="2:19" x14ac:dyDescent="0.3">
      <c r="B136" s="8">
        <v>122</v>
      </c>
      <c r="C136" s="80" t="s">
        <v>160</v>
      </c>
      <c r="D136" s="48"/>
      <c r="E136" s="73">
        <v>6</v>
      </c>
      <c r="F136" s="73">
        <v>6</v>
      </c>
      <c r="G136" s="73">
        <v>6</v>
      </c>
      <c r="H136" s="73">
        <v>6</v>
      </c>
      <c r="I136" s="73">
        <v>6</v>
      </c>
      <c r="J136" s="26">
        <f t="shared" si="3"/>
        <v>30</v>
      </c>
      <c r="K136" s="26">
        <v>19</v>
      </c>
      <c r="L136" s="80">
        <v>4</v>
      </c>
      <c r="M136" s="80">
        <v>4</v>
      </c>
      <c r="N136" s="80">
        <v>4</v>
      </c>
      <c r="O136" s="79">
        <v>3</v>
      </c>
      <c r="P136" s="80">
        <v>4</v>
      </c>
      <c r="Q136" s="26">
        <f t="shared" si="4"/>
        <v>19</v>
      </c>
      <c r="R136" s="25">
        <v>5</v>
      </c>
      <c r="S136" s="28">
        <f t="shared" si="5"/>
        <v>73</v>
      </c>
    </row>
    <row r="137" spans="2:19" x14ac:dyDescent="0.3">
      <c r="B137" s="8">
        <v>123</v>
      </c>
      <c r="C137" s="80" t="s">
        <v>161</v>
      </c>
      <c r="D137" s="48"/>
      <c r="E137" s="73">
        <v>6</v>
      </c>
      <c r="F137" s="73">
        <v>6</v>
      </c>
      <c r="G137" s="73">
        <v>6</v>
      </c>
      <c r="H137" s="73">
        <v>6</v>
      </c>
      <c r="I137" s="73">
        <v>6</v>
      </c>
      <c r="J137" s="26">
        <f t="shared" si="3"/>
        <v>30</v>
      </c>
      <c r="K137" s="26">
        <v>15</v>
      </c>
      <c r="L137" s="80">
        <v>4</v>
      </c>
      <c r="M137" s="80">
        <v>4</v>
      </c>
      <c r="N137" s="80">
        <v>4</v>
      </c>
      <c r="O137" s="79">
        <v>4</v>
      </c>
      <c r="P137" s="80">
        <v>3</v>
      </c>
      <c r="Q137" s="26">
        <f t="shared" si="4"/>
        <v>19</v>
      </c>
      <c r="R137" s="25">
        <v>5</v>
      </c>
      <c r="S137" s="28">
        <f t="shared" si="5"/>
        <v>69</v>
      </c>
    </row>
    <row r="138" spans="2:19" x14ac:dyDescent="0.3">
      <c r="B138" s="8">
        <v>124</v>
      </c>
      <c r="C138" s="80" t="s">
        <v>162</v>
      </c>
      <c r="D138" s="48"/>
      <c r="E138" s="73">
        <v>6</v>
      </c>
      <c r="F138" s="73">
        <v>6</v>
      </c>
      <c r="G138" s="73">
        <v>6</v>
      </c>
      <c r="H138" s="73">
        <v>6</v>
      </c>
      <c r="I138" s="73">
        <v>6</v>
      </c>
      <c r="J138" s="26">
        <f t="shared" si="3"/>
        <v>30</v>
      </c>
      <c r="K138" s="26">
        <v>19</v>
      </c>
      <c r="L138" s="80">
        <v>4</v>
      </c>
      <c r="M138" s="80">
        <v>4</v>
      </c>
      <c r="N138" s="80">
        <v>4</v>
      </c>
      <c r="O138" s="79">
        <v>4</v>
      </c>
      <c r="P138" s="80">
        <v>4</v>
      </c>
      <c r="Q138" s="26">
        <f t="shared" si="4"/>
        <v>20</v>
      </c>
      <c r="R138" s="25">
        <v>5</v>
      </c>
      <c r="S138" s="28">
        <f t="shared" si="5"/>
        <v>74</v>
      </c>
    </row>
    <row r="139" spans="2:19" x14ac:dyDescent="0.3">
      <c r="B139" s="8">
        <v>125</v>
      </c>
      <c r="C139" s="80" t="s">
        <v>163</v>
      </c>
      <c r="D139" s="48"/>
      <c r="E139" s="73">
        <v>6</v>
      </c>
      <c r="F139" s="73">
        <v>6</v>
      </c>
      <c r="G139" s="73">
        <v>6</v>
      </c>
      <c r="H139" s="73">
        <v>6</v>
      </c>
      <c r="I139" s="73">
        <v>5</v>
      </c>
      <c r="J139" s="26">
        <f t="shared" si="3"/>
        <v>29</v>
      </c>
      <c r="K139" s="26">
        <v>16</v>
      </c>
      <c r="L139" s="80">
        <v>4</v>
      </c>
      <c r="M139" s="80">
        <v>4</v>
      </c>
      <c r="N139" s="80">
        <v>4</v>
      </c>
      <c r="O139" s="79">
        <v>4</v>
      </c>
      <c r="P139" s="80">
        <v>4</v>
      </c>
      <c r="Q139" s="26">
        <f t="shared" si="4"/>
        <v>20</v>
      </c>
      <c r="R139" s="25">
        <v>5</v>
      </c>
      <c r="S139" s="28">
        <f t="shared" si="5"/>
        <v>70</v>
      </c>
    </row>
    <row r="140" spans="2:19" x14ac:dyDescent="0.3">
      <c r="B140" s="8">
        <v>126</v>
      </c>
      <c r="C140" s="80" t="s">
        <v>164</v>
      </c>
      <c r="D140" s="48"/>
      <c r="E140" s="73">
        <v>6</v>
      </c>
      <c r="F140" s="73">
        <v>6</v>
      </c>
      <c r="G140" s="73">
        <v>6</v>
      </c>
      <c r="H140" s="73">
        <v>6</v>
      </c>
      <c r="I140" s="73">
        <v>6</v>
      </c>
      <c r="J140" s="26">
        <f t="shared" si="3"/>
        <v>30</v>
      </c>
      <c r="K140" s="26">
        <v>15</v>
      </c>
      <c r="L140" s="80">
        <v>4</v>
      </c>
      <c r="M140" s="80">
        <v>4</v>
      </c>
      <c r="N140" s="80">
        <v>4</v>
      </c>
      <c r="O140" s="79">
        <v>4</v>
      </c>
      <c r="P140" s="80">
        <v>4</v>
      </c>
      <c r="Q140" s="26">
        <f t="shared" si="4"/>
        <v>20</v>
      </c>
      <c r="R140" s="25">
        <v>5</v>
      </c>
      <c r="S140" s="28">
        <f t="shared" si="5"/>
        <v>70</v>
      </c>
    </row>
    <row r="141" spans="2:19" x14ac:dyDescent="0.3">
      <c r="B141" s="8">
        <v>127</v>
      </c>
      <c r="C141" s="80" t="s">
        <v>165</v>
      </c>
      <c r="D141" s="48"/>
      <c r="E141" s="73">
        <v>6</v>
      </c>
      <c r="F141" s="73">
        <v>6</v>
      </c>
      <c r="G141" s="73">
        <v>6</v>
      </c>
      <c r="H141" s="73">
        <v>6</v>
      </c>
      <c r="I141" s="73">
        <v>6</v>
      </c>
      <c r="J141" s="26">
        <f t="shared" si="3"/>
        <v>30</v>
      </c>
      <c r="K141" s="26">
        <v>17</v>
      </c>
      <c r="L141" s="80">
        <v>4</v>
      </c>
      <c r="M141" s="80">
        <v>4</v>
      </c>
      <c r="N141" s="80">
        <v>4</v>
      </c>
      <c r="O141" s="79">
        <v>4</v>
      </c>
      <c r="P141" s="80">
        <v>4</v>
      </c>
      <c r="Q141" s="26">
        <f t="shared" si="4"/>
        <v>20</v>
      </c>
      <c r="R141" s="25">
        <v>5</v>
      </c>
      <c r="S141" s="28">
        <f t="shared" si="5"/>
        <v>72</v>
      </c>
    </row>
    <row r="142" spans="2:19" x14ac:dyDescent="0.3">
      <c r="B142" s="8">
        <v>128</v>
      </c>
      <c r="C142" s="80" t="s">
        <v>166</v>
      </c>
      <c r="D142" s="48"/>
      <c r="E142" s="73">
        <v>6</v>
      </c>
      <c r="F142" s="73">
        <v>6</v>
      </c>
      <c r="G142" s="73">
        <v>6</v>
      </c>
      <c r="H142" s="73">
        <v>6</v>
      </c>
      <c r="I142" s="73">
        <v>6</v>
      </c>
      <c r="J142" s="26">
        <f t="shared" si="3"/>
        <v>30</v>
      </c>
      <c r="K142" s="26">
        <v>17</v>
      </c>
      <c r="L142" s="80">
        <v>4</v>
      </c>
      <c r="M142" s="80">
        <v>4</v>
      </c>
      <c r="N142" s="80">
        <v>4</v>
      </c>
      <c r="O142" s="79">
        <v>4</v>
      </c>
      <c r="P142" s="80">
        <v>4</v>
      </c>
      <c r="Q142" s="26">
        <f t="shared" si="4"/>
        <v>20</v>
      </c>
      <c r="R142" s="25">
        <v>5</v>
      </c>
      <c r="S142" s="28">
        <f t="shared" si="5"/>
        <v>72</v>
      </c>
    </row>
    <row r="143" spans="2:19" x14ac:dyDescent="0.3">
      <c r="B143" s="8">
        <v>129</v>
      </c>
      <c r="C143" s="80" t="s">
        <v>167</v>
      </c>
      <c r="D143" s="48"/>
      <c r="E143" s="73">
        <v>6</v>
      </c>
      <c r="F143" s="73">
        <v>6</v>
      </c>
      <c r="G143" s="73">
        <v>6</v>
      </c>
      <c r="H143" s="73">
        <v>6</v>
      </c>
      <c r="I143" s="73">
        <v>6</v>
      </c>
      <c r="J143" s="26">
        <f t="shared" si="3"/>
        <v>30</v>
      </c>
      <c r="K143" s="26">
        <v>16</v>
      </c>
      <c r="L143" s="80">
        <v>4</v>
      </c>
      <c r="M143" s="80">
        <v>4</v>
      </c>
      <c r="N143" s="80">
        <v>4</v>
      </c>
      <c r="O143" s="79">
        <v>4</v>
      </c>
      <c r="P143" s="80">
        <v>4</v>
      </c>
      <c r="Q143" s="26">
        <f t="shared" si="4"/>
        <v>20</v>
      </c>
      <c r="R143" s="25">
        <v>5</v>
      </c>
      <c r="S143" s="28">
        <f t="shared" si="5"/>
        <v>71</v>
      </c>
    </row>
    <row r="144" spans="2:19" x14ac:dyDescent="0.3">
      <c r="B144" s="8">
        <v>130</v>
      </c>
      <c r="C144" s="80" t="s">
        <v>168</v>
      </c>
      <c r="D144" s="48"/>
      <c r="E144" s="73">
        <v>6</v>
      </c>
      <c r="F144" s="73">
        <v>5</v>
      </c>
      <c r="G144" s="73">
        <v>6</v>
      </c>
      <c r="H144" s="73">
        <v>6</v>
      </c>
      <c r="I144" s="73">
        <v>6</v>
      </c>
      <c r="J144" s="26">
        <f t="shared" ref="J144:J195" si="6">SUM(E144, F144, G144, H144, I144)</f>
        <v>29</v>
      </c>
      <c r="K144" s="26">
        <v>16</v>
      </c>
      <c r="L144" s="80"/>
      <c r="M144" s="80">
        <v>2</v>
      </c>
      <c r="N144" s="80">
        <v>4</v>
      </c>
      <c r="O144" s="79">
        <v>4</v>
      </c>
      <c r="P144" s="80">
        <v>4</v>
      </c>
      <c r="Q144" s="26">
        <f t="shared" ref="Q144:Q190" si="7">SUM(L144, M144, N144, O144, P144)</f>
        <v>14</v>
      </c>
      <c r="R144" s="25">
        <v>5</v>
      </c>
      <c r="S144" s="28">
        <f t="shared" ref="S144:S195" si="8">SUM(J144, K144, Q144, R144)</f>
        <v>64</v>
      </c>
    </row>
    <row r="145" spans="2:19" x14ac:dyDescent="0.3">
      <c r="B145" s="8">
        <v>131</v>
      </c>
      <c r="C145" s="80" t="s">
        <v>169</v>
      </c>
      <c r="D145" s="48"/>
      <c r="E145" s="73">
        <v>6</v>
      </c>
      <c r="F145" s="73">
        <v>6</v>
      </c>
      <c r="G145" s="73">
        <v>6</v>
      </c>
      <c r="H145" s="73">
        <v>6</v>
      </c>
      <c r="I145" s="73">
        <v>6</v>
      </c>
      <c r="J145" s="26">
        <f t="shared" si="6"/>
        <v>30</v>
      </c>
      <c r="K145" s="26">
        <v>15</v>
      </c>
      <c r="L145" s="80">
        <v>4</v>
      </c>
      <c r="M145" s="80">
        <v>4</v>
      </c>
      <c r="N145" s="80">
        <v>4</v>
      </c>
      <c r="O145" s="79">
        <v>4</v>
      </c>
      <c r="P145" s="80">
        <v>4</v>
      </c>
      <c r="Q145" s="26">
        <f t="shared" si="7"/>
        <v>20</v>
      </c>
      <c r="R145" s="25">
        <v>5</v>
      </c>
      <c r="S145" s="28">
        <f t="shared" si="8"/>
        <v>70</v>
      </c>
    </row>
    <row r="146" spans="2:19" x14ac:dyDescent="0.3">
      <c r="B146" s="8">
        <v>132</v>
      </c>
      <c r="C146" s="80" t="s">
        <v>170</v>
      </c>
      <c r="D146" s="48"/>
      <c r="E146" s="73">
        <v>6</v>
      </c>
      <c r="F146" s="73">
        <v>6</v>
      </c>
      <c r="G146" s="73">
        <v>6</v>
      </c>
      <c r="H146" s="73">
        <v>6</v>
      </c>
      <c r="I146" s="73">
        <v>6</v>
      </c>
      <c r="J146" s="26">
        <f t="shared" si="6"/>
        <v>30</v>
      </c>
      <c r="K146" s="26">
        <v>18</v>
      </c>
      <c r="L146" s="80">
        <v>4</v>
      </c>
      <c r="M146" s="80">
        <v>4</v>
      </c>
      <c r="N146" s="80">
        <v>4</v>
      </c>
      <c r="O146" s="79">
        <v>4</v>
      </c>
      <c r="P146" s="80">
        <v>4</v>
      </c>
      <c r="Q146" s="26">
        <f t="shared" si="7"/>
        <v>20</v>
      </c>
      <c r="R146" s="25">
        <v>5</v>
      </c>
      <c r="S146" s="28">
        <f t="shared" si="8"/>
        <v>73</v>
      </c>
    </row>
    <row r="147" spans="2:19" x14ac:dyDescent="0.3">
      <c r="B147" s="8">
        <v>133</v>
      </c>
      <c r="C147" s="80" t="s">
        <v>171</v>
      </c>
      <c r="D147" s="48"/>
      <c r="E147" s="73">
        <v>6</v>
      </c>
      <c r="F147" s="73">
        <v>6</v>
      </c>
      <c r="G147" s="73">
        <v>6</v>
      </c>
      <c r="H147" s="73">
        <v>6</v>
      </c>
      <c r="I147" s="73">
        <v>6</v>
      </c>
      <c r="J147" s="26">
        <f t="shared" si="6"/>
        <v>30</v>
      </c>
      <c r="K147" s="26">
        <v>16</v>
      </c>
      <c r="L147" s="80">
        <v>4</v>
      </c>
      <c r="M147" s="80">
        <v>4</v>
      </c>
      <c r="N147" s="80">
        <v>4</v>
      </c>
      <c r="O147" s="79">
        <v>4</v>
      </c>
      <c r="P147" s="80">
        <v>4</v>
      </c>
      <c r="Q147" s="26">
        <f t="shared" si="7"/>
        <v>20</v>
      </c>
      <c r="R147" s="25">
        <v>5</v>
      </c>
      <c r="S147" s="28">
        <f t="shared" si="8"/>
        <v>71</v>
      </c>
    </row>
    <row r="148" spans="2:19" x14ac:dyDescent="0.3">
      <c r="B148" s="8">
        <v>134</v>
      </c>
      <c r="C148" s="80" t="s">
        <v>172</v>
      </c>
      <c r="D148" s="48"/>
      <c r="E148" s="73">
        <v>6</v>
      </c>
      <c r="F148" s="73">
        <v>6</v>
      </c>
      <c r="G148" s="73">
        <v>5</v>
      </c>
      <c r="H148" s="73">
        <v>5</v>
      </c>
      <c r="I148" s="73">
        <v>5</v>
      </c>
      <c r="J148" s="26">
        <f t="shared" si="6"/>
        <v>27</v>
      </c>
      <c r="K148" s="26">
        <v>18</v>
      </c>
      <c r="L148" s="80">
        <v>4</v>
      </c>
      <c r="M148" s="80">
        <v>4</v>
      </c>
      <c r="N148" s="80">
        <v>4</v>
      </c>
      <c r="O148" s="79">
        <v>4</v>
      </c>
      <c r="P148" s="80">
        <v>4</v>
      </c>
      <c r="Q148" s="26">
        <f t="shared" si="7"/>
        <v>20</v>
      </c>
      <c r="R148" s="25">
        <v>5</v>
      </c>
      <c r="S148" s="28">
        <f t="shared" si="8"/>
        <v>70</v>
      </c>
    </row>
    <row r="149" spans="2:19" x14ac:dyDescent="0.3">
      <c r="B149" s="8">
        <v>135</v>
      </c>
      <c r="C149" s="80" t="s">
        <v>173</v>
      </c>
      <c r="D149" s="48"/>
      <c r="E149" s="73">
        <v>6</v>
      </c>
      <c r="F149" s="73">
        <v>6</v>
      </c>
      <c r="G149" s="73">
        <v>6</v>
      </c>
      <c r="H149" s="73">
        <v>6</v>
      </c>
      <c r="I149" s="73">
        <v>6</v>
      </c>
      <c r="J149" s="26">
        <f t="shared" si="6"/>
        <v>30</v>
      </c>
      <c r="K149" s="26">
        <v>18</v>
      </c>
      <c r="L149" s="80">
        <v>4</v>
      </c>
      <c r="M149" s="80">
        <v>4</v>
      </c>
      <c r="N149" s="80">
        <v>4</v>
      </c>
      <c r="O149" s="79">
        <v>2</v>
      </c>
      <c r="P149" s="80">
        <v>4</v>
      </c>
      <c r="Q149" s="26">
        <f t="shared" si="7"/>
        <v>18</v>
      </c>
      <c r="R149" s="25">
        <v>5</v>
      </c>
      <c r="S149" s="28">
        <f t="shared" si="8"/>
        <v>71</v>
      </c>
    </row>
    <row r="150" spans="2:19" x14ac:dyDescent="0.3">
      <c r="B150" s="8">
        <v>136</v>
      </c>
      <c r="C150" s="80" t="s">
        <v>174</v>
      </c>
      <c r="D150" s="48"/>
      <c r="E150" s="73">
        <v>6</v>
      </c>
      <c r="F150" s="73">
        <v>6</v>
      </c>
      <c r="G150" s="73">
        <v>6</v>
      </c>
      <c r="H150" s="73">
        <v>6</v>
      </c>
      <c r="I150" s="73">
        <v>6</v>
      </c>
      <c r="J150" s="26">
        <f t="shared" si="6"/>
        <v>30</v>
      </c>
      <c r="K150" s="26">
        <v>19</v>
      </c>
      <c r="L150" s="80">
        <v>4</v>
      </c>
      <c r="M150" s="80">
        <v>4</v>
      </c>
      <c r="N150" s="80">
        <v>4</v>
      </c>
      <c r="O150" s="79">
        <v>4</v>
      </c>
      <c r="P150" s="80">
        <v>4</v>
      </c>
      <c r="Q150" s="26">
        <f t="shared" si="7"/>
        <v>20</v>
      </c>
      <c r="R150" s="25">
        <v>5</v>
      </c>
      <c r="S150" s="28">
        <f t="shared" si="8"/>
        <v>74</v>
      </c>
    </row>
    <row r="151" spans="2:19" x14ac:dyDescent="0.3">
      <c r="B151" s="8">
        <v>137</v>
      </c>
      <c r="C151" s="80" t="s">
        <v>175</v>
      </c>
      <c r="D151" s="48"/>
      <c r="E151" s="73">
        <v>6</v>
      </c>
      <c r="F151" s="73">
        <v>6</v>
      </c>
      <c r="G151" s="73">
        <v>6</v>
      </c>
      <c r="H151" s="73">
        <v>6</v>
      </c>
      <c r="I151" s="73">
        <v>6</v>
      </c>
      <c r="J151" s="26">
        <f t="shared" si="6"/>
        <v>30</v>
      </c>
      <c r="K151" s="26">
        <v>15</v>
      </c>
      <c r="L151" s="80">
        <v>4</v>
      </c>
      <c r="M151" s="80">
        <v>4</v>
      </c>
      <c r="N151" s="80">
        <v>4</v>
      </c>
      <c r="O151" s="79">
        <v>3</v>
      </c>
      <c r="P151" s="80">
        <v>4</v>
      </c>
      <c r="Q151" s="26">
        <f t="shared" si="7"/>
        <v>19</v>
      </c>
      <c r="R151" s="25">
        <v>5</v>
      </c>
      <c r="S151" s="28">
        <f t="shared" si="8"/>
        <v>69</v>
      </c>
    </row>
    <row r="152" spans="2:19" x14ac:dyDescent="0.3">
      <c r="B152" s="8">
        <v>138</v>
      </c>
      <c r="C152" s="80" t="s">
        <v>176</v>
      </c>
      <c r="D152" s="48"/>
      <c r="E152" s="73">
        <v>6</v>
      </c>
      <c r="F152" s="73">
        <v>6</v>
      </c>
      <c r="G152" s="73">
        <v>6</v>
      </c>
      <c r="H152" s="73">
        <v>6</v>
      </c>
      <c r="I152" s="73">
        <v>6</v>
      </c>
      <c r="J152" s="26">
        <f t="shared" si="6"/>
        <v>30</v>
      </c>
      <c r="K152" s="26">
        <v>14</v>
      </c>
      <c r="L152" s="80">
        <v>4</v>
      </c>
      <c r="M152" s="80">
        <v>4</v>
      </c>
      <c r="N152" s="80">
        <v>4</v>
      </c>
      <c r="O152" s="79">
        <v>4</v>
      </c>
      <c r="P152" s="80">
        <v>4</v>
      </c>
      <c r="Q152" s="26">
        <f t="shared" si="7"/>
        <v>20</v>
      </c>
      <c r="R152" s="25">
        <v>5</v>
      </c>
      <c r="S152" s="28">
        <f t="shared" si="8"/>
        <v>69</v>
      </c>
    </row>
    <row r="153" spans="2:19" x14ac:dyDescent="0.3">
      <c r="B153" s="8">
        <v>139</v>
      </c>
      <c r="C153" s="80" t="s">
        <v>177</v>
      </c>
      <c r="D153" s="48"/>
      <c r="E153" s="73">
        <v>6</v>
      </c>
      <c r="F153" s="73">
        <v>6</v>
      </c>
      <c r="G153" s="73">
        <v>6</v>
      </c>
      <c r="H153" s="73">
        <v>6</v>
      </c>
      <c r="I153" s="73">
        <v>6</v>
      </c>
      <c r="J153" s="26">
        <f t="shared" si="6"/>
        <v>30</v>
      </c>
      <c r="K153" s="26">
        <v>17</v>
      </c>
      <c r="L153" s="80">
        <v>4</v>
      </c>
      <c r="M153" s="80">
        <v>4</v>
      </c>
      <c r="N153" s="80">
        <v>4</v>
      </c>
      <c r="O153" s="79">
        <v>4</v>
      </c>
      <c r="P153" s="80">
        <v>4</v>
      </c>
      <c r="Q153" s="26">
        <f t="shared" si="7"/>
        <v>20</v>
      </c>
      <c r="R153" s="25">
        <v>5</v>
      </c>
      <c r="S153" s="28">
        <f t="shared" si="8"/>
        <v>72</v>
      </c>
    </row>
    <row r="154" spans="2:19" x14ac:dyDescent="0.3">
      <c r="B154" s="8">
        <v>140</v>
      </c>
      <c r="C154" s="80" t="s">
        <v>178</v>
      </c>
      <c r="D154" s="48"/>
      <c r="E154" s="73">
        <v>6</v>
      </c>
      <c r="F154" s="73">
        <v>6</v>
      </c>
      <c r="G154" s="73">
        <v>6</v>
      </c>
      <c r="H154" s="73">
        <v>6</v>
      </c>
      <c r="I154" s="73">
        <v>6</v>
      </c>
      <c r="J154" s="26">
        <f t="shared" si="6"/>
        <v>30</v>
      </c>
      <c r="K154" s="26">
        <v>15</v>
      </c>
      <c r="L154" s="80">
        <v>4</v>
      </c>
      <c r="M154" s="80">
        <v>4</v>
      </c>
      <c r="N154" s="80">
        <v>4</v>
      </c>
      <c r="O154" s="79">
        <v>4</v>
      </c>
      <c r="P154" s="80">
        <v>4</v>
      </c>
      <c r="Q154" s="26">
        <f t="shared" si="7"/>
        <v>20</v>
      </c>
      <c r="R154" s="25">
        <v>5</v>
      </c>
      <c r="S154" s="28">
        <f t="shared" si="8"/>
        <v>70</v>
      </c>
    </row>
    <row r="155" spans="2:19" x14ac:dyDescent="0.3">
      <c r="B155" s="8">
        <v>141</v>
      </c>
      <c r="C155" s="80" t="s">
        <v>179</v>
      </c>
      <c r="D155" s="48"/>
      <c r="E155" s="73">
        <v>6</v>
      </c>
      <c r="F155" s="73">
        <v>6</v>
      </c>
      <c r="G155" s="73">
        <v>6</v>
      </c>
      <c r="H155" s="73">
        <v>6</v>
      </c>
      <c r="I155" s="73">
        <v>6</v>
      </c>
      <c r="J155" s="26">
        <f t="shared" si="6"/>
        <v>30</v>
      </c>
      <c r="K155" s="26">
        <v>19</v>
      </c>
      <c r="L155" s="80">
        <v>3</v>
      </c>
      <c r="M155" s="80">
        <v>4</v>
      </c>
      <c r="N155" s="80">
        <v>4</v>
      </c>
      <c r="O155" s="79">
        <v>4</v>
      </c>
      <c r="P155" s="80">
        <v>4</v>
      </c>
      <c r="Q155" s="26">
        <f t="shared" si="7"/>
        <v>19</v>
      </c>
      <c r="R155" s="25">
        <v>5</v>
      </c>
      <c r="S155" s="28">
        <f t="shared" si="8"/>
        <v>73</v>
      </c>
    </row>
    <row r="156" spans="2:19" x14ac:dyDescent="0.3">
      <c r="B156" s="8">
        <v>142</v>
      </c>
      <c r="C156" s="80" t="s">
        <v>180</v>
      </c>
      <c r="D156" s="48"/>
      <c r="E156" s="73">
        <v>6</v>
      </c>
      <c r="F156" s="73"/>
      <c r="G156" s="73">
        <v>6</v>
      </c>
      <c r="H156" s="73">
        <v>6</v>
      </c>
      <c r="I156" s="73">
        <v>6</v>
      </c>
      <c r="J156" s="26">
        <f t="shared" si="6"/>
        <v>24</v>
      </c>
      <c r="K156" s="26">
        <v>15</v>
      </c>
      <c r="L156" s="80">
        <v>4</v>
      </c>
      <c r="M156" s="80">
        <v>3</v>
      </c>
      <c r="N156" s="80">
        <v>4</v>
      </c>
      <c r="O156" s="79">
        <v>3</v>
      </c>
      <c r="P156" s="80"/>
      <c r="Q156" s="26">
        <f t="shared" si="7"/>
        <v>14</v>
      </c>
      <c r="R156" s="25">
        <v>5</v>
      </c>
      <c r="S156" s="28">
        <f t="shared" si="8"/>
        <v>58</v>
      </c>
    </row>
    <row r="157" spans="2:19" x14ac:dyDescent="0.3">
      <c r="B157" s="8">
        <v>143</v>
      </c>
      <c r="C157" s="80" t="s">
        <v>181</v>
      </c>
      <c r="D157" s="48"/>
      <c r="E157" s="73">
        <v>6</v>
      </c>
      <c r="F157" s="73">
        <v>6</v>
      </c>
      <c r="G157" s="73">
        <v>6</v>
      </c>
      <c r="H157" s="73">
        <v>6</v>
      </c>
      <c r="I157" s="73">
        <v>6</v>
      </c>
      <c r="J157" s="26">
        <f t="shared" si="6"/>
        <v>30</v>
      </c>
      <c r="K157" s="26">
        <v>17</v>
      </c>
      <c r="L157" s="80">
        <v>3</v>
      </c>
      <c r="M157" s="80">
        <v>1</v>
      </c>
      <c r="N157" s="80">
        <v>4</v>
      </c>
      <c r="O157" s="79">
        <v>4</v>
      </c>
      <c r="P157" s="80">
        <v>4</v>
      </c>
      <c r="Q157" s="26">
        <f t="shared" si="7"/>
        <v>16</v>
      </c>
      <c r="R157" s="25">
        <v>5</v>
      </c>
      <c r="S157" s="28">
        <f t="shared" si="8"/>
        <v>68</v>
      </c>
    </row>
    <row r="158" spans="2:19" x14ac:dyDescent="0.3">
      <c r="B158" s="8">
        <v>144</v>
      </c>
      <c r="C158" s="80" t="s">
        <v>182</v>
      </c>
      <c r="D158" s="48"/>
      <c r="E158" s="73">
        <v>6</v>
      </c>
      <c r="F158" s="73">
        <v>6</v>
      </c>
      <c r="G158" s="73">
        <v>6</v>
      </c>
      <c r="H158" s="73">
        <v>6</v>
      </c>
      <c r="I158" s="73">
        <v>6</v>
      </c>
      <c r="J158" s="26">
        <f t="shared" si="6"/>
        <v>30</v>
      </c>
      <c r="K158" s="26">
        <v>19</v>
      </c>
      <c r="L158" s="80">
        <v>4</v>
      </c>
      <c r="M158" s="80">
        <v>4</v>
      </c>
      <c r="N158" s="80">
        <v>4</v>
      </c>
      <c r="O158" s="79">
        <v>4</v>
      </c>
      <c r="P158" s="80">
        <v>4</v>
      </c>
      <c r="Q158" s="26">
        <f t="shared" si="7"/>
        <v>20</v>
      </c>
      <c r="R158" s="25">
        <v>5</v>
      </c>
      <c r="S158" s="28">
        <f t="shared" si="8"/>
        <v>74</v>
      </c>
    </row>
    <row r="159" spans="2:19" x14ac:dyDescent="0.3">
      <c r="B159" s="8">
        <v>145</v>
      </c>
      <c r="C159" s="80" t="s">
        <v>183</v>
      </c>
      <c r="D159" s="48"/>
      <c r="E159" s="73">
        <v>6</v>
      </c>
      <c r="F159" s="73">
        <v>6</v>
      </c>
      <c r="G159" s="73">
        <v>6</v>
      </c>
      <c r="H159" s="73">
        <v>6</v>
      </c>
      <c r="I159" s="73">
        <v>6</v>
      </c>
      <c r="J159" s="26">
        <f t="shared" si="6"/>
        <v>30</v>
      </c>
      <c r="K159" s="26">
        <v>19</v>
      </c>
      <c r="L159" s="80">
        <v>4</v>
      </c>
      <c r="M159" s="80">
        <v>4</v>
      </c>
      <c r="N159" s="80">
        <v>4</v>
      </c>
      <c r="O159" s="79">
        <v>4</v>
      </c>
      <c r="P159" s="80">
        <v>4</v>
      </c>
      <c r="Q159" s="26">
        <f t="shared" si="7"/>
        <v>20</v>
      </c>
      <c r="R159" s="25">
        <v>5</v>
      </c>
      <c r="S159" s="28">
        <f t="shared" si="8"/>
        <v>74</v>
      </c>
    </row>
    <row r="160" spans="2:19" x14ac:dyDescent="0.3">
      <c r="B160" s="8">
        <v>146</v>
      </c>
      <c r="C160" s="80" t="s">
        <v>184</v>
      </c>
      <c r="D160" s="48"/>
      <c r="E160" s="73">
        <v>6</v>
      </c>
      <c r="F160" s="73">
        <v>6</v>
      </c>
      <c r="G160" s="73">
        <v>6</v>
      </c>
      <c r="H160" s="73">
        <v>6</v>
      </c>
      <c r="I160" s="73">
        <v>6</v>
      </c>
      <c r="J160" s="26">
        <f t="shared" si="6"/>
        <v>30</v>
      </c>
      <c r="K160" s="26">
        <v>18</v>
      </c>
      <c r="L160" s="80">
        <v>4</v>
      </c>
      <c r="M160" s="80">
        <v>4</v>
      </c>
      <c r="N160" s="80">
        <v>4</v>
      </c>
      <c r="O160" s="79">
        <v>4</v>
      </c>
      <c r="P160" s="80">
        <v>4</v>
      </c>
      <c r="Q160" s="26">
        <f t="shared" si="7"/>
        <v>20</v>
      </c>
      <c r="R160" s="25">
        <v>5</v>
      </c>
      <c r="S160" s="28">
        <f t="shared" si="8"/>
        <v>73</v>
      </c>
    </row>
    <row r="161" spans="2:19" x14ac:dyDescent="0.3">
      <c r="B161" s="8">
        <v>147</v>
      </c>
      <c r="C161" s="80" t="s">
        <v>185</v>
      </c>
      <c r="D161" s="48"/>
      <c r="E161" s="73">
        <v>6</v>
      </c>
      <c r="F161" s="73">
        <v>5</v>
      </c>
      <c r="G161" s="73">
        <v>6</v>
      </c>
      <c r="H161" s="73">
        <v>5</v>
      </c>
      <c r="I161" s="73">
        <v>6</v>
      </c>
      <c r="J161" s="26">
        <f t="shared" si="6"/>
        <v>28</v>
      </c>
      <c r="K161" s="26">
        <v>16</v>
      </c>
      <c r="L161" s="80">
        <v>4</v>
      </c>
      <c r="M161" s="80">
        <v>4</v>
      </c>
      <c r="N161" s="80">
        <v>4</v>
      </c>
      <c r="O161" s="79">
        <v>2</v>
      </c>
      <c r="P161" s="80">
        <v>4</v>
      </c>
      <c r="Q161" s="26">
        <f t="shared" si="7"/>
        <v>18</v>
      </c>
      <c r="R161" s="25">
        <v>5</v>
      </c>
      <c r="S161" s="28">
        <f t="shared" si="8"/>
        <v>67</v>
      </c>
    </row>
    <row r="162" spans="2:19" x14ac:dyDescent="0.3">
      <c r="B162" s="8">
        <v>148</v>
      </c>
      <c r="C162" s="80" t="s">
        <v>186</v>
      </c>
      <c r="D162" s="48"/>
      <c r="E162" s="73">
        <v>6</v>
      </c>
      <c r="F162" s="73">
        <v>5</v>
      </c>
      <c r="G162" s="73">
        <v>6</v>
      </c>
      <c r="H162" s="73">
        <v>6</v>
      </c>
      <c r="I162" s="73">
        <v>6</v>
      </c>
      <c r="J162" s="26">
        <f t="shared" si="6"/>
        <v>29</v>
      </c>
      <c r="K162" s="26">
        <v>9</v>
      </c>
      <c r="L162" s="80">
        <v>4</v>
      </c>
      <c r="M162" s="80">
        <v>4</v>
      </c>
      <c r="N162" s="80">
        <v>4</v>
      </c>
      <c r="O162" s="79">
        <v>3</v>
      </c>
      <c r="P162" s="80">
        <v>4</v>
      </c>
      <c r="Q162" s="26">
        <f t="shared" si="7"/>
        <v>19</v>
      </c>
      <c r="R162" s="25">
        <v>5</v>
      </c>
      <c r="S162" s="28">
        <f t="shared" si="8"/>
        <v>62</v>
      </c>
    </row>
    <row r="163" spans="2:19" x14ac:dyDescent="0.3">
      <c r="B163" s="8">
        <v>149</v>
      </c>
      <c r="C163" s="80" t="s">
        <v>187</v>
      </c>
      <c r="D163" s="48"/>
      <c r="E163" s="73">
        <v>6</v>
      </c>
      <c r="F163" s="73">
        <v>3</v>
      </c>
      <c r="G163" s="73">
        <v>6</v>
      </c>
      <c r="H163" s="73">
        <v>6</v>
      </c>
      <c r="I163" s="73">
        <v>6</v>
      </c>
      <c r="J163" s="26">
        <f t="shared" si="6"/>
        <v>27</v>
      </c>
      <c r="K163" s="26">
        <v>19</v>
      </c>
      <c r="L163" s="80">
        <v>4</v>
      </c>
      <c r="M163" s="80">
        <v>4</v>
      </c>
      <c r="N163" s="80">
        <v>4</v>
      </c>
      <c r="O163" s="79">
        <v>4</v>
      </c>
      <c r="P163" s="80">
        <v>4</v>
      </c>
      <c r="Q163" s="26">
        <f t="shared" si="7"/>
        <v>20</v>
      </c>
      <c r="R163" s="25">
        <v>5</v>
      </c>
      <c r="S163" s="28">
        <f t="shared" si="8"/>
        <v>71</v>
      </c>
    </row>
    <row r="164" spans="2:19" x14ac:dyDescent="0.3">
      <c r="B164" s="8">
        <v>150</v>
      </c>
      <c r="C164" s="80" t="s">
        <v>188</v>
      </c>
      <c r="D164" s="48"/>
      <c r="E164" s="73">
        <v>6</v>
      </c>
      <c r="F164" s="73">
        <v>6</v>
      </c>
      <c r="G164" s="73">
        <v>6</v>
      </c>
      <c r="H164" s="73">
        <v>6</v>
      </c>
      <c r="I164" s="73">
        <v>6</v>
      </c>
      <c r="J164" s="26">
        <f t="shared" si="6"/>
        <v>30</v>
      </c>
      <c r="K164" s="26">
        <v>16</v>
      </c>
      <c r="L164" s="80">
        <v>4</v>
      </c>
      <c r="M164" s="80">
        <v>4</v>
      </c>
      <c r="N164" s="80">
        <v>4</v>
      </c>
      <c r="O164" s="79">
        <v>4</v>
      </c>
      <c r="P164" s="80">
        <v>4</v>
      </c>
      <c r="Q164" s="26">
        <f t="shared" si="7"/>
        <v>20</v>
      </c>
      <c r="R164" s="25">
        <v>5</v>
      </c>
      <c r="S164" s="28">
        <f t="shared" si="8"/>
        <v>71</v>
      </c>
    </row>
    <row r="165" spans="2:19" x14ac:dyDescent="0.3">
      <c r="B165" s="8">
        <v>151</v>
      </c>
      <c r="C165" s="80" t="s">
        <v>189</v>
      </c>
      <c r="D165" s="48"/>
      <c r="E165" s="73">
        <v>6</v>
      </c>
      <c r="F165" s="73">
        <v>6</v>
      </c>
      <c r="G165" s="73">
        <v>5</v>
      </c>
      <c r="H165" s="73">
        <v>5</v>
      </c>
      <c r="I165" s="73">
        <v>6</v>
      </c>
      <c r="J165" s="26">
        <f t="shared" si="6"/>
        <v>28</v>
      </c>
      <c r="K165" s="26">
        <v>18</v>
      </c>
      <c r="L165" s="80">
        <v>4</v>
      </c>
      <c r="M165" s="80"/>
      <c r="N165" s="80">
        <v>2</v>
      </c>
      <c r="O165" s="79"/>
      <c r="P165" s="80">
        <v>4</v>
      </c>
      <c r="Q165" s="26">
        <f t="shared" si="7"/>
        <v>10</v>
      </c>
      <c r="R165" s="25">
        <v>5</v>
      </c>
      <c r="S165" s="28">
        <f t="shared" si="8"/>
        <v>61</v>
      </c>
    </row>
    <row r="166" spans="2:19" x14ac:dyDescent="0.3">
      <c r="B166" s="8">
        <v>152</v>
      </c>
      <c r="C166" s="80" t="s">
        <v>190</v>
      </c>
      <c r="D166" s="48"/>
      <c r="E166" s="73">
        <v>6</v>
      </c>
      <c r="F166" s="73">
        <v>6</v>
      </c>
      <c r="G166" s="73">
        <v>6</v>
      </c>
      <c r="H166" s="73">
        <v>6</v>
      </c>
      <c r="I166" s="73">
        <v>6</v>
      </c>
      <c r="J166" s="26">
        <f t="shared" si="6"/>
        <v>30</v>
      </c>
      <c r="K166" s="26">
        <v>16</v>
      </c>
      <c r="L166" s="80">
        <v>2</v>
      </c>
      <c r="M166" s="80">
        <v>4</v>
      </c>
      <c r="N166" s="80">
        <v>3</v>
      </c>
      <c r="O166" s="79">
        <v>3</v>
      </c>
      <c r="P166" s="80">
        <v>4</v>
      </c>
      <c r="Q166" s="26">
        <f t="shared" si="7"/>
        <v>16</v>
      </c>
      <c r="R166" s="25">
        <v>5</v>
      </c>
      <c r="S166" s="28">
        <f t="shared" si="8"/>
        <v>67</v>
      </c>
    </row>
    <row r="167" spans="2:19" x14ac:dyDescent="0.3">
      <c r="B167" s="8">
        <v>153</v>
      </c>
      <c r="C167" s="80" t="s">
        <v>191</v>
      </c>
      <c r="D167" s="48"/>
      <c r="E167" s="73">
        <v>6</v>
      </c>
      <c r="F167" s="73">
        <v>6</v>
      </c>
      <c r="G167" s="73">
        <v>6</v>
      </c>
      <c r="H167" s="73">
        <v>6</v>
      </c>
      <c r="I167" s="73">
        <v>6</v>
      </c>
      <c r="J167" s="26">
        <f t="shared" si="6"/>
        <v>30</v>
      </c>
      <c r="K167" s="26">
        <v>19</v>
      </c>
      <c r="L167" s="80">
        <v>4</v>
      </c>
      <c r="M167" s="80">
        <v>4</v>
      </c>
      <c r="N167" s="80">
        <v>4</v>
      </c>
      <c r="O167" s="79">
        <v>4</v>
      </c>
      <c r="P167" s="80">
        <v>4</v>
      </c>
      <c r="Q167" s="26">
        <f t="shared" si="7"/>
        <v>20</v>
      </c>
      <c r="R167" s="25">
        <v>5</v>
      </c>
      <c r="S167" s="28">
        <f t="shared" si="8"/>
        <v>74</v>
      </c>
    </row>
    <row r="168" spans="2:19" x14ac:dyDescent="0.3">
      <c r="B168" s="8">
        <v>154</v>
      </c>
      <c r="C168" s="80" t="s">
        <v>192</v>
      </c>
      <c r="D168" s="48"/>
      <c r="E168" s="73">
        <v>6</v>
      </c>
      <c r="F168" s="73">
        <v>6</v>
      </c>
      <c r="G168" s="73">
        <v>6</v>
      </c>
      <c r="H168" s="73">
        <v>6</v>
      </c>
      <c r="I168" s="73">
        <v>6</v>
      </c>
      <c r="J168" s="26">
        <f t="shared" si="6"/>
        <v>30</v>
      </c>
      <c r="K168" s="26">
        <v>16</v>
      </c>
      <c r="L168" s="80">
        <v>3</v>
      </c>
      <c r="M168" s="80">
        <v>4</v>
      </c>
      <c r="N168" s="80">
        <v>4</v>
      </c>
      <c r="O168" s="79">
        <v>2</v>
      </c>
      <c r="P168" s="80">
        <v>4</v>
      </c>
      <c r="Q168" s="26">
        <f t="shared" si="7"/>
        <v>17</v>
      </c>
      <c r="R168" s="25">
        <v>5</v>
      </c>
      <c r="S168" s="28">
        <f t="shared" si="8"/>
        <v>68</v>
      </c>
    </row>
    <row r="169" spans="2:19" x14ac:dyDescent="0.3">
      <c r="B169" s="8">
        <v>155</v>
      </c>
      <c r="C169" s="80" t="s">
        <v>193</v>
      </c>
      <c r="D169" s="48"/>
      <c r="E169" s="73">
        <v>6</v>
      </c>
      <c r="F169" s="73">
        <v>6</v>
      </c>
      <c r="G169" s="73">
        <v>6</v>
      </c>
      <c r="H169" s="73">
        <v>6</v>
      </c>
      <c r="I169" s="73">
        <v>6</v>
      </c>
      <c r="J169" s="26">
        <f t="shared" si="6"/>
        <v>30</v>
      </c>
      <c r="K169" s="26">
        <v>17</v>
      </c>
      <c r="L169" s="80">
        <v>4</v>
      </c>
      <c r="M169" s="80">
        <v>4</v>
      </c>
      <c r="N169" s="80">
        <v>4</v>
      </c>
      <c r="O169" s="79">
        <v>4</v>
      </c>
      <c r="P169" s="80">
        <v>4</v>
      </c>
      <c r="Q169" s="26">
        <f t="shared" si="7"/>
        <v>20</v>
      </c>
      <c r="R169" s="25">
        <v>5</v>
      </c>
      <c r="S169" s="28">
        <f t="shared" si="8"/>
        <v>72</v>
      </c>
    </row>
    <row r="170" spans="2:19" x14ac:dyDescent="0.3">
      <c r="B170" s="8">
        <v>156</v>
      </c>
      <c r="C170" s="80" t="s">
        <v>194</v>
      </c>
      <c r="D170" s="48"/>
      <c r="E170" s="73">
        <v>6</v>
      </c>
      <c r="F170" s="73">
        <v>6</v>
      </c>
      <c r="G170" s="73">
        <v>6</v>
      </c>
      <c r="H170" s="73">
        <v>6</v>
      </c>
      <c r="I170" s="73">
        <v>6</v>
      </c>
      <c r="J170" s="26">
        <f t="shared" si="6"/>
        <v>30</v>
      </c>
      <c r="K170" s="26">
        <v>18</v>
      </c>
      <c r="L170" s="80">
        <v>2</v>
      </c>
      <c r="M170" s="80">
        <v>4</v>
      </c>
      <c r="N170" s="80">
        <v>4</v>
      </c>
      <c r="O170" s="79">
        <v>4</v>
      </c>
      <c r="P170" s="80">
        <v>4</v>
      </c>
      <c r="Q170" s="26">
        <f t="shared" si="7"/>
        <v>18</v>
      </c>
      <c r="R170" s="25">
        <v>5</v>
      </c>
      <c r="S170" s="28">
        <f t="shared" si="8"/>
        <v>71</v>
      </c>
    </row>
    <row r="171" spans="2:19" x14ac:dyDescent="0.3">
      <c r="B171" s="8">
        <v>157</v>
      </c>
      <c r="C171" s="80" t="s">
        <v>195</v>
      </c>
      <c r="D171" s="48"/>
      <c r="E171" s="73">
        <v>6</v>
      </c>
      <c r="F171" s="73">
        <v>6</v>
      </c>
      <c r="G171" s="73">
        <v>6</v>
      </c>
      <c r="H171" s="73">
        <v>6</v>
      </c>
      <c r="I171" s="73">
        <v>6</v>
      </c>
      <c r="J171" s="26">
        <f t="shared" si="6"/>
        <v>30</v>
      </c>
      <c r="K171" s="26">
        <v>14</v>
      </c>
      <c r="L171" s="80">
        <v>4</v>
      </c>
      <c r="M171" s="80">
        <v>4</v>
      </c>
      <c r="N171" s="80">
        <v>4</v>
      </c>
      <c r="O171" s="79">
        <v>4</v>
      </c>
      <c r="P171" s="80">
        <v>2</v>
      </c>
      <c r="Q171" s="26">
        <f t="shared" si="7"/>
        <v>18</v>
      </c>
      <c r="R171" s="25">
        <v>5</v>
      </c>
      <c r="S171" s="28">
        <f t="shared" si="8"/>
        <v>67</v>
      </c>
    </row>
    <row r="172" spans="2:19" x14ac:dyDescent="0.3">
      <c r="B172" s="8">
        <v>158</v>
      </c>
      <c r="C172" s="80" t="s">
        <v>196</v>
      </c>
      <c r="D172" s="48"/>
      <c r="E172" s="73">
        <v>6</v>
      </c>
      <c r="F172" s="73">
        <v>6</v>
      </c>
      <c r="G172" s="73">
        <v>5</v>
      </c>
      <c r="H172" s="73">
        <v>5</v>
      </c>
      <c r="I172" s="73">
        <v>6</v>
      </c>
      <c r="J172" s="26">
        <f t="shared" si="6"/>
        <v>28</v>
      </c>
      <c r="K172" s="26">
        <v>18</v>
      </c>
      <c r="L172" s="80">
        <v>4</v>
      </c>
      <c r="M172" s="80">
        <v>4</v>
      </c>
      <c r="N172" s="80">
        <v>4</v>
      </c>
      <c r="O172" s="79">
        <v>2</v>
      </c>
      <c r="P172" s="80">
        <v>4</v>
      </c>
      <c r="Q172" s="26">
        <f t="shared" si="7"/>
        <v>18</v>
      </c>
      <c r="R172" s="25">
        <v>5</v>
      </c>
      <c r="S172" s="28">
        <f t="shared" si="8"/>
        <v>69</v>
      </c>
    </row>
    <row r="173" spans="2:19" x14ac:dyDescent="0.3">
      <c r="B173" s="8">
        <v>159</v>
      </c>
      <c r="C173" s="80" t="s">
        <v>197</v>
      </c>
      <c r="D173" s="48"/>
      <c r="E173" s="73">
        <v>6</v>
      </c>
      <c r="F173" s="73">
        <v>6</v>
      </c>
      <c r="G173" s="73">
        <v>6</v>
      </c>
      <c r="H173" s="73">
        <v>6</v>
      </c>
      <c r="I173" s="73">
        <v>6</v>
      </c>
      <c r="J173" s="26">
        <f t="shared" si="6"/>
        <v>30</v>
      </c>
      <c r="K173" s="26">
        <v>18</v>
      </c>
      <c r="L173" s="80">
        <v>2</v>
      </c>
      <c r="M173" s="80">
        <v>4</v>
      </c>
      <c r="N173" s="80">
        <v>4</v>
      </c>
      <c r="O173" s="79">
        <v>4</v>
      </c>
      <c r="P173" s="80">
        <v>4</v>
      </c>
      <c r="Q173" s="26">
        <f t="shared" si="7"/>
        <v>18</v>
      </c>
      <c r="R173" s="25">
        <v>5</v>
      </c>
      <c r="S173" s="28">
        <f t="shared" si="8"/>
        <v>71</v>
      </c>
    </row>
    <row r="174" spans="2:19" x14ac:dyDescent="0.3">
      <c r="B174" s="8">
        <v>160</v>
      </c>
      <c r="C174" s="80" t="s">
        <v>198</v>
      </c>
      <c r="D174" s="48"/>
      <c r="E174" s="73">
        <v>6</v>
      </c>
      <c r="F174" s="73">
        <v>6</v>
      </c>
      <c r="G174" s="73">
        <v>6</v>
      </c>
      <c r="H174" s="73">
        <v>6</v>
      </c>
      <c r="I174" s="73">
        <v>4</v>
      </c>
      <c r="J174" s="26">
        <f t="shared" si="6"/>
        <v>28</v>
      </c>
      <c r="K174" s="26">
        <v>18</v>
      </c>
      <c r="L174" s="80">
        <v>0</v>
      </c>
      <c r="M174" s="80">
        <v>0</v>
      </c>
      <c r="N174" s="80">
        <v>0</v>
      </c>
      <c r="O174" s="79">
        <v>0</v>
      </c>
      <c r="P174" s="80">
        <v>0</v>
      </c>
      <c r="Q174" s="26">
        <f t="shared" si="7"/>
        <v>0</v>
      </c>
      <c r="R174" s="25">
        <v>5</v>
      </c>
      <c r="S174" s="28">
        <f t="shared" si="8"/>
        <v>51</v>
      </c>
    </row>
    <row r="175" spans="2:19" x14ac:dyDescent="0.3">
      <c r="B175" s="8">
        <v>161</v>
      </c>
      <c r="C175" s="80" t="s">
        <v>199</v>
      </c>
      <c r="D175" s="48"/>
      <c r="E175" s="73">
        <v>6</v>
      </c>
      <c r="F175" s="73">
        <v>6</v>
      </c>
      <c r="G175" s="73">
        <v>5</v>
      </c>
      <c r="H175" s="73">
        <v>6</v>
      </c>
      <c r="I175" s="73">
        <v>6</v>
      </c>
      <c r="J175" s="26">
        <f t="shared" si="6"/>
        <v>29</v>
      </c>
      <c r="K175" s="26">
        <v>16</v>
      </c>
      <c r="L175" s="80">
        <v>4</v>
      </c>
      <c r="M175" s="80">
        <v>4</v>
      </c>
      <c r="N175" s="80">
        <v>4</v>
      </c>
      <c r="O175" s="79">
        <v>3</v>
      </c>
      <c r="P175" s="80">
        <v>3</v>
      </c>
      <c r="Q175" s="26">
        <f t="shared" si="7"/>
        <v>18</v>
      </c>
      <c r="R175" s="25">
        <v>5</v>
      </c>
      <c r="S175" s="28">
        <f t="shared" si="8"/>
        <v>68</v>
      </c>
    </row>
    <row r="176" spans="2:19" x14ac:dyDescent="0.3">
      <c r="B176" s="8">
        <v>162</v>
      </c>
      <c r="C176" s="80" t="s">
        <v>200</v>
      </c>
      <c r="D176" s="48"/>
      <c r="E176" s="73">
        <v>6</v>
      </c>
      <c r="F176" s="73">
        <v>4</v>
      </c>
      <c r="G176" s="73">
        <v>3</v>
      </c>
      <c r="H176" s="73">
        <v>6</v>
      </c>
      <c r="I176" s="73">
        <v>6</v>
      </c>
      <c r="J176" s="26">
        <f t="shared" si="6"/>
        <v>25</v>
      </c>
      <c r="K176" s="26">
        <v>16</v>
      </c>
      <c r="L176" s="80"/>
      <c r="M176" s="80"/>
      <c r="N176" s="80">
        <v>4</v>
      </c>
      <c r="O176" s="79">
        <v>0</v>
      </c>
      <c r="P176" s="80">
        <v>4</v>
      </c>
      <c r="Q176" s="26">
        <f t="shared" si="7"/>
        <v>8</v>
      </c>
      <c r="R176" s="25">
        <v>5</v>
      </c>
      <c r="S176" s="28">
        <f t="shared" si="8"/>
        <v>54</v>
      </c>
    </row>
    <row r="177" spans="2:19" x14ac:dyDescent="0.3">
      <c r="B177" s="8">
        <v>163</v>
      </c>
      <c r="C177" s="80" t="s">
        <v>201</v>
      </c>
      <c r="D177" s="48"/>
      <c r="E177" s="73">
        <v>6</v>
      </c>
      <c r="F177" s="73">
        <v>6</v>
      </c>
      <c r="G177" s="73">
        <v>6</v>
      </c>
      <c r="H177" s="73">
        <v>6</v>
      </c>
      <c r="I177" s="73">
        <v>6</v>
      </c>
      <c r="J177" s="26">
        <f t="shared" si="6"/>
        <v>30</v>
      </c>
      <c r="K177" s="26">
        <v>18</v>
      </c>
      <c r="L177" s="80">
        <v>4</v>
      </c>
      <c r="M177" s="80">
        <v>4</v>
      </c>
      <c r="N177" s="80">
        <v>4</v>
      </c>
      <c r="O177" s="79">
        <v>4</v>
      </c>
      <c r="P177" s="80">
        <v>4</v>
      </c>
      <c r="Q177" s="26">
        <f t="shared" si="7"/>
        <v>20</v>
      </c>
      <c r="R177" s="25">
        <v>5</v>
      </c>
      <c r="S177" s="28">
        <f t="shared" si="8"/>
        <v>73</v>
      </c>
    </row>
    <row r="178" spans="2:19" x14ac:dyDescent="0.3">
      <c r="B178" s="8">
        <v>164</v>
      </c>
      <c r="C178" s="80" t="s">
        <v>202</v>
      </c>
      <c r="D178" s="48"/>
      <c r="E178" s="73">
        <v>6</v>
      </c>
      <c r="F178" s="73">
        <v>6</v>
      </c>
      <c r="G178" s="73">
        <v>6</v>
      </c>
      <c r="H178" s="73">
        <v>6</v>
      </c>
      <c r="I178" s="73">
        <v>6</v>
      </c>
      <c r="J178" s="26">
        <f t="shared" si="6"/>
        <v>30</v>
      </c>
      <c r="K178" s="26">
        <v>18</v>
      </c>
      <c r="L178" s="80">
        <v>4</v>
      </c>
      <c r="M178" s="80">
        <v>4</v>
      </c>
      <c r="N178" s="80">
        <v>4</v>
      </c>
      <c r="O178" s="79">
        <v>4</v>
      </c>
      <c r="P178" s="80">
        <v>4</v>
      </c>
      <c r="Q178" s="26">
        <f t="shared" si="7"/>
        <v>20</v>
      </c>
      <c r="R178" s="25">
        <v>5</v>
      </c>
      <c r="S178" s="28">
        <f t="shared" si="8"/>
        <v>73</v>
      </c>
    </row>
    <row r="179" spans="2:19" x14ac:dyDescent="0.3">
      <c r="B179" s="8">
        <v>165</v>
      </c>
      <c r="C179" s="80" t="s">
        <v>203</v>
      </c>
      <c r="D179" s="48"/>
      <c r="E179" s="73">
        <v>6</v>
      </c>
      <c r="F179" s="73">
        <v>6</v>
      </c>
      <c r="G179" s="73">
        <v>6</v>
      </c>
      <c r="H179" s="73">
        <v>6</v>
      </c>
      <c r="I179" s="73">
        <v>6</v>
      </c>
      <c r="J179" s="26">
        <f t="shared" si="6"/>
        <v>30</v>
      </c>
      <c r="K179" s="26">
        <v>18</v>
      </c>
      <c r="L179" s="80">
        <v>4</v>
      </c>
      <c r="M179" s="80">
        <v>4</v>
      </c>
      <c r="N179" s="80">
        <v>4</v>
      </c>
      <c r="O179" s="79">
        <v>2</v>
      </c>
      <c r="P179" s="80">
        <v>4</v>
      </c>
      <c r="Q179" s="26">
        <f t="shared" si="7"/>
        <v>18</v>
      </c>
      <c r="R179" s="25">
        <v>5</v>
      </c>
      <c r="S179" s="28">
        <f t="shared" si="8"/>
        <v>71</v>
      </c>
    </row>
    <row r="180" spans="2:19" x14ac:dyDescent="0.3">
      <c r="B180" s="8">
        <v>166</v>
      </c>
      <c r="C180" s="80" t="s">
        <v>204</v>
      </c>
      <c r="D180" s="48"/>
      <c r="E180" s="73">
        <v>6</v>
      </c>
      <c r="F180" s="73">
        <v>6</v>
      </c>
      <c r="G180" s="73">
        <v>6</v>
      </c>
      <c r="H180" s="73">
        <v>6</v>
      </c>
      <c r="I180" s="73">
        <v>6</v>
      </c>
      <c r="J180" s="26">
        <f t="shared" si="6"/>
        <v>30</v>
      </c>
      <c r="K180" s="26">
        <v>16</v>
      </c>
      <c r="L180" s="80">
        <v>2</v>
      </c>
      <c r="M180" s="80">
        <v>4</v>
      </c>
      <c r="N180" s="80">
        <v>4</v>
      </c>
      <c r="O180" s="79">
        <v>4</v>
      </c>
      <c r="P180" s="80">
        <v>4</v>
      </c>
      <c r="Q180" s="26">
        <f t="shared" si="7"/>
        <v>18</v>
      </c>
      <c r="R180" s="25">
        <v>5</v>
      </c>
      <c r="S180" s="28">
        <f t="shared" si="8"/>
        <v>69</v>
      </c>
    </row>
    <row r="181" spans="2:19" x14ac:dyDescent="0.3">
      <c r="B181" s="8">
        <v>167</v>
      </c>
      <c r="C181" s="80" t="s">
        <v>205</v>
      </c>
      <c r="D181" s="48"/>
      <c r="E181" s="73">
        <v>6</v>
      </c>
      <c r="F181" s="73">
        <v>6</v>
      </c>
      <c r="G181" s="73">
        <v>6</v>
      </c>
      <c r="H181" s="73">
        <v>6</v>
      </c>
      <c r="I181" s="73">
        <v>6</v>
      </c>
      <c r="J181" s="26">
        <f t="shared" si="6"/>
        <v>30</v>
      </c>
      <c r="K181" s="26">
        <v>19</v>
      </c>
      <c r="L181" s="80">
        <v>4</v>
      </c>
      <c r="M181" s="80">
        <v>4</v>
      </c>
      <c r="N181" s="80">
        <v>4</v>
      </c>
      <c r="O181" s="79">
        <v>4</v>
      </c>
      <c r="P181" s="80">
        <v>4</v>
      </c>
      <c r="Q181" s="26">
        <f t="shared" si="7"/>
        <v>20</v>
      </c>
      <c r="R181" s="25">
        <v>5</v>
      </c>
      <c r="S181" s="28">
        <f t="shared" si="8"/>
        <v>74</v>
      </c>
    </row>
    <row r="182" spans="2:19" x14ac:dyDescent="0.3">
      <c r="B182" s="8">
        <v>168</v>
      </c>
      <c r="C182" s="80" t="s">
        <v>206</v>
      </c>
      <c r="D182" s="48"/>
      <c r="E182" s="73">
        <v>6</v>
      </c>
      <c r="F182" s="73">
        <v>6</v>
      </c>
      <c r="G182" s="73">
        <v>6</v>
      </c>
      <c r="H182" s="73">
        <v>6</v>
      </c>
      <c r="I182" s="73">
        <v>6</v>
      </c>
      <c r="J182" s="26">
        <f t="shared" si="6"/>
        <v>30</v>
      </c>
      <c r="K182" s="26">
        <v>16</v>
      </c>
      <c r="L182" s="80">
        <v>4</v>
      </c>
      <c r="M182" s="80">
        <v>2</v>
      </c>
      <c r="N182" s="80">
        <v>2</v>
      </c>
      <c r="O182" s="79">
        <v>3</v>
      </c>
      <c r="P182" s="80">
        <v>4</v>
      </c>
      <c r="Q182" s="26">
        <f t="shared" si="7"/>
        <v>15</v>
      </c>
      <c r="R182" s="25">
        <v>5</v>
      </c>
      <c r="S182" s="28">
        <f t="shared" si="8"/>
        <v>66</v>
      </c>
    </row>
    <row r="183" spans="2:19" x14ac:dyDescent="0.3">
      <c r="B183" s="8">
        <v>169</v>
      </c>
      <c r="C183" s="80" t="s">
        <v>207</v>
      </c>
      <c r="D183" s="48"/>
      <c r="E183" s="73">
        <v>6</v>
      </c>
      <c r="F183" s="73">
        <v>6</v>
      </c>
      <c r="G183" s="73">
        <v>6</v>
      </c>
      <c r="H183" s="73">
        <v>6</v>
      </c>
      <c r="I183" s="73">
        <v>6</v>
      </c>
      <c r="J183" s="26">
        <f t="shared" si="6"/>
        <v>30</v>
      </c>
      <c r="K183" s="26">
        <v>20</v>
      </c>
      <c r="L183" s="80">
        <v>4</v>
      </c>
      <c r="M183" s="80">
        <v>4</v>
      </c>
      <c r="N183" s="80">
        <v>4</v>
      </c>
      <c r="O183" s="79">
        <v>4</v>
      </c>
      <c r="P183" s="80">
        <v>3</v>
      </c>
      <c r="Q183" s="26">
        <f t="shared" si="7"/>
        <v>19</v>
      </c>
      <c r="R183" s="25">
        <v>5</v>
      </c>
      <c r="S183" s="28">
        <f t="shared" si="8"/>
        <v>74</v>
      </c>
    </row>
    <row r="184" spans="2:19" x14ac:dyDescent="0.3">
      <c r="B184" s="8">
        <v>170</v>
      </c>
      <c r="C184" s="80" t="s">
        <v>208</v>
      </c>
      <c r="D184" s="48"/>
      <c r="E184" s="73">
        <v>6</v>
      </c>
      <c r="F184" s="73">
        <v>6</v>
      </c>
      <c r="G184" s="73">
        <v>6</v>
      </c>
      <c r="H184" s="73">
        <v>6</v>
      </c>
      <c r="I184" s="73">
        <v>6</v>
      </c>
      <c r="J184" s="26">
        <f t="shared" si="6"/>
        <v>30</v>
      </c>
      <c r="K184" s="26">
        <v>14</v>
      </c>
      <c r="L184" s="80">
        <v>4</v>
      </c>
      <c r="M184" s="80">
        <v>4</v>
      </c>
      <c r="N184" s="80">
        <v>4</v>
      </c>
      <c r="O184" s="79">
        <v>4</v>
      </c>
      <c r="P184" s="80">
        <v>4</v>
      </c>
      <c r="Q184" s="26">
        <f t="shared" si="7"/>
        <v>20</v>
      </c>
      <c r="R184" s="25">
        <v>5</v>
      </c>
      <c r="S184" s="28">
        <f t="shared" si="8"/>
        <v>69</v>
      </c>
    </row>
    <row r="185" spans="2:19" x14ac:dyDescent="0.3">
      <c r="B185" s="8">
        <v>171</v>
      </c>
      <c r="C185" s="80" t="s">
        <v>209</v>
      </c>
      <c r="D185" s="48"/>
      <c r="E185" s="73"/>
      <c r="F185" s="73"/>
      <c r="G185" s="73"/>
      <c r="H185" s="73"/>
      <c r="I185" s="73"/>
      <c r="J185" s="26">
        <f t="shared" si="6"/>
        <v>0</v>
      </c>
      <c r="K185" s="26"/>
      <c r="L185" s="80"/>
      <c r="M185" s="80"/>
      <c r="N185" s="80"/>
      <c r="O185" s="79"/>
      <c r="P185" s="80"/>
      <c r="Q185" s="26">
        <f t="shared" si="7"/>
        <v>0</v>
      </c>
      <c r="R185" s="25"/>
      <c r="S185" s="28">
        <f t="shared" si="8"/>
        <v>0</v>
      </c>
    </row>
    <row r="186" spans="2:19" x14ac:dyDescent="0.3">
      <c r="B186" s="8">
        <v>172</v>
      </c>
      <c r="C186" s="80" t="s">
        <v>210</v>
      </c>
      <c r="D186" s="48"/>
      <c r="E186" s="73">
        <v>6</v>
      </c>
      <c r="F186" s="73">
        <v>6</v>
      </c>
      <c r="G186" s="73">
        <v>6</v>
      </c>
      <c r="H186" s="73">
        <v>5</v>
      </c>
      <c r="I186" s="73">
        <v>6</v>
      </c>
      <c r="J186" s="26">
        <f t="shared" si="6"/>
        <v>29</v>
      </c>
      <c r="K186" s="26">
        <v>9</v>
      </c>
      <c r="L186" s="80">
        <v>3</v>
      </c>
      <c r="M186" s="80">
        <v>3</v>
      </c>
      <c r="N186" s="80">
        <v>4</v>
      </c>
      <c r="O186" s="79">
        <v>4</v>
      </c>
      <c r="P186" s="80">
        <v>4</v>
      </c>
      <c r="Q186" s="26">
        <f t="shared" si="7"/>
        <v>18</v>
      </c>
      <c r="R186" s="25">
        <v>5</v>
      </c>
      <c r="S186" s="28">
        <f t="shared" si="8"/>
        <v>61</v>
      </c>
    </row>
    <row r="187" spans="2:19" x14ac:dyDescent="0.3">
      <c r="B187" s="8">
        <v>173</v>
      </c>
      <c r="C187" s="80" t="s">
        <v>211</v>
      </c>
      <c r="D187" s="48"/>
      <c r="E187" s="73">
        <v>4</v>
      </c>
      <c r="F187" s="73">
        <v>6</v>
      </c>
      <c r="G187" s="73">
        <v>6</v>
      </c>
      <c r="H187" s="73">
        <v>6</v>
      </c>
      <c r="I187" s="73">
        <v>6</v>
      </c>
      <c r="J187" s="26">
        <f t="shared" si="6"/>
        <v>28</v>
      </c>
      <c r="K187" s="26">
        <v>16</v>
      </c>
      <c r="L187" s="80">
        <v>2</v>
      </c>
      <c r="M187" s="80"/>
      <c r="N187" s="80">
        <v>4</v>
      </c>
      <c r="O187" s="79">
        <v>4</v>
      </c>
      <c r="P187" s="80">
        <v>4</v>
      </c>
      <c r="Q187" s="26">
        <f t="shared" si="7"/>
        <v>14</v>
      </c>
      <c r="R187" s="25">
        <v>5</v>
      </c>
      <c r="S187" s="28">
        <f t="shared" si="8"/>
        <v>63</v>
      </c>
    </row>
    <row r="188" spans="2:19" x14ac:dyDescent="0.3">
      <c r="B188" s="8">
        <v>174</v>
      </c>
      <c r="C188" s="80" t="s">
        <v>212</v>
      </c>
      <c r="D188" s="48"/>
      <c r="E188" s="73">
        <v>6</v>
      </c>
      <c r="F188" s="73">
        <v>6</v>
      </c>
      <c r="G188" s="73"/>
      <c r="H188" s="73"/>
      <c r="I188" s="73"/>
      <c r="J188" s="26">
        <f t="shared" si="6"/>
        <v>12</v>
      </c>
      <c r="K188" s="26">
        <v>17</v>
      </c>
      <c r="L188" s="80"/>
      <c r="M188" s="80"/>
      <c r="N188" s="80">
        <v>2</v>
      </c>
      <c r="O188" s="79">
        <v>4</v>
      </c>
      <c r="P188" s="80">
        <v>4</v>
      </c>
      <c r="Q188" s="26">
        <f t="shared" si="7"/>
        <v>10</v>
      </c>
      <c r="R188" s="25">
        <v>5</v>
      </c>
      <c r="S188" s="28">
        <f t="shared" si="8"/>
        <v>44</v>
      </c>
    </row>
    <row r="189" spans="2:19" x14ac:dyDescent="0.3">
      <c r="B189" s="8">
        <v>175</v>
      </c>
      <c r="C189" s="80" t="s">
        <v>213</v>
      </c>
      <c r="D189" s="48"/>
      <c r="E189" s="73">
        <v>6</v>
      </c>
      <c r="F189" s="73">
        <v>6</v>
      </c>
      <c r="G189" s="73">
        <v>6</v>
      </c>
      <c r="H189" s="73">
        <v>5</v>
      </c>
      <c r="I189" s="73">
        <v>5</v>
      </c>
      <c r="J189" s="26">
        <f t="shared" si="6"/>
        <v>28</v>
      </c>
      <c r="K189" s="26">
        <v>13</v>
      </c>
      <c r="L189" s="80">
        <v>4</v>
      </c>
      <c r="M189" s="80">
        <v>4</v>
      </c>
      <c r="N189" s="80">
        <v>4</v>
      </c>
      <c r="O189" s="79">
        <v>4</v>
      </c>
      <c r="P189" s="80">
        <v>3</v>
      </c>
      <c r="Q189" s="26">
        <f t="shared" si="7"/>
        <v>19</v>
      </c>
      <c r="R189" s="25">
        <v>5</v>
      </c>
      <c r="S189" s="28">
        <f t="shared" si="8"/>
        <v>65</v>
      </c>
    </row>
    <row r="190" spans="2:19" x14ac:dyDescent="0.3">
      <c r="B190" s="8">
        <v>176</v>
      </c>
      <c r="C190" s="80" t="s">
        <v>214</v>
      </c>
      <c r="D190" s="48"/>
      <c r="E190" s="73">
        <v>6</v>
      </c>
      <c r="F190" s="73">
        <v>6</v>
      </c>
      <c r="G190" s="73">
        <v>5</v>
      </c>
      <c r="H190" s="73">
        <v>5</v>
      </c>
      <c r="I190" s="73">
        <v>6</v>
      </c>
      <c r="J190" s="26">
        <f t="shared" si="6"/>
        <v>28</v>
      </c>
      <c r="K190" s="26">
        <v>17</v>
      </c>
      <c r="L190" s="80">
        <v>4</v>
      </c>
      <c r="M190" s="80">
        <v>4</v>
      </c>
      <c r="N190" s="80">
        <v>4</v>
      </c>
      <c r="O190" s="79">
        <v>4</v>
      </c>
      <c r="P190" s="80">
        <v>4</v>
      </c>
      <c r="Q190" s="26">
        <f t="shared" si="7"/>
        <v>20</v>
      </c>
      <c r="R190" s="25">
        <v>5</v>
      </c>
      <c r="S190" s="28">
        <f t="shared" si="8"/>
        <v>70</v>
      </c>
    </row>
    <row r="191" spans="2:19" x14ac:dyDescent="0.3">
      <c r="B191" s="8">
        <v>177</v>
      </c>
      <c r="C191" s="80" t="s">
        <v>215</v>
      </c>
      <c r="D191" s="48"/>
      <c r="E191" s="73"/>
      <c r="F191" s="73"/>
      <c r="G191" s="73"/>
      <c r="H191" s="73"/>
      <c r="I191" s="73"/>
      <c r="J191" s="26">
        <f t="shared" si="6"/>
        <v>0</v>
      </c>
      <c r="K191" s="26"/>
      <c r="L191" s="80"/>
      <c r="M191" s="80"/>
      <c r="N191" s="80"/>
      <c r="O191" s="79"/>
      <c r="P191" s="80"/>
      <c r="Q191" s="26">
        <f>SUM(L191, M191, N191, O191, P191)</f>
        <v>0</v>
      </c>
      <c r="R191" s="25"/>
      <c r="S191" s="28">
        <f t="shared" si="8"/>
        <v>0</v>
      </c>
    </row>
    <row r="192" spans="2:19" x14ac:dyDescent="0.3">
      <c r="B192" s="8">
        <v>178</v>
      </c>
      <c r="C192" s="80" t="s">
        <v>216</v>
      </c>
      <c r="D192" s="48"/>
      <c r="E192" s="73">
        <v>6</v>
      </c>
      <c r="F192" s="73">
        <v>6</v>
      </c>
      <c r="G192" s="73">
        <v>6</v>
      </c>
      <c r="H192" s="73">
        <v>6</v>
      </c>
      <c r="I192" s="73">
        <v>6</v>
      </c>
      <c r="J192" s="26">
        <f t="shared" si="6"/>
        <v>30</v>
      </c>
      <c r="K192" s="26">
        <v>15</v>
      </c>
      <c r="L192" s="80">
        <v>3</v>
      </c>
      <c r="M192" s="80">
        <v>3</v>
      </c>
      <c r="N192" s="80">
        <v>4</v>
      </c>
      <c r="O192" s="79">
        <v>4</v>
      </c>
      <c r="P192" s="80">
        <v>3</v>
      </c>
      <c r="Q192" s="26">
        <f>SUM(L192, M192, N192, O192, P192)</f>
        <v>17</v>
      </c>
      <c r="R192" s="25">
        <v>5</v>
      </c>
      <c r="S192" s="28">
        <f t="shared" si="8"/>
        <v>67</v>
      </c>
    </row>
    <row r="193" spans="2:19" x14ac:dyDescent="0.3">
      <c r="B193" s="8">
        <v>179</v>
      </c>
      <c r="C193" s="80" t="s">
        <v>217</v>
      </c>
      <c r="D193" s="48"/>
      <c r="E193" s="73">
        <v>5</v>
      </c>
      <c r="F193" s="73">
        <v>6</v>
      </c>
      <c r="G193" s="73">
        <v>6</v>
      </c>
      <c r="H193" s="73">
        <v>6</v>
      </c>
      <c r="I193" s="73">
        <v>6</v>
      </c>
      <c r="J193" s="26">
        <f t="shared" si="6"/>
        <v>29</v>
      </c>
      <c r="K193" s="26">
        <v>16</v>
      </c>
      <c r="L193" s="80">
        <v>4</v>
      </c>
      <c r="M193" s="80">
        <v>4</v>
      </c>
      <c r="N193" s="80">
        <v>4</v>
      </c>
      <c r="O193" s="79">
        <v>4</v>
      </c>
      <c r="P193" s="80">
        <v>4</v>
      </c>
      <c r="Q193" s="26">
        <f>SUM(L193, M193, N193, O193, P193)</f>
        <v>20</v>
      </c>
      <c r="R193" s="25">
        <v>5</v>
      </c>
      <c r="S193" s="28">
        <f t="shared" si="8"/>
        <v>70</v>
      </c>
    </row>
    <row r="194" spans="2:19" x14ac:dyDescent="0.3">
      <c r="B194" s="8">
        <v>180</v>
      </c>
      <c r="C194" s="80" t="s">
        <v>218</v>
      </c>
      <c r="D194" s="48"/>
      <c r="E194" s="73">
        <v>5</v>
      </c>
      <c r="F194" s="73">
        <v>5</v>
      </c>
      <c r="G194" s="73">
        <v>5</v>
      </c>
      <c r="H194" s="73"/>
      <c r="I194" s="73">
        <v>5</v>
      </c>
      <c r="J194" s="26">
        <f t="shared" si="6"/>
        <v>20</v>
      </c>
      <c r="K194" s="26">
        <v>7</v>
      </c>
      <c r="L194" s="80">
        <v>3</v>
      </c>
      <c r="M194" s="80">
        <v>4</v>
      </c>
      <c r="N194" s="81">
        <v>3</v>
      </c>
      <c r="O194" s="79">
        <v>3</v>
      </c>
      <c r="P194" s="80"/>
      <c r="Q194" s="26">
        <f>SUM(L194, M194, N194, O194, P194)</f>
        <v>13</v>
      </c>
      <c r="R194" s="25">
        <v>5</v>
      </c>
      <c r="S194" s="28">
        <f t="shared" si="8"/>
        <v>45</v>
      </c>
    </row>
    <row r="195" spans="2:19" x14ac:dyDescent="0.3">
      <c r="B195" s="8">
        <v>181</v>
      </c>
      <c r="C195" s="80" t="s">
        <v>219</v>
      </c>
      <c r="D195" s="48">
        <v>4</v>
      </c>
      <c r="E195" s="73"/>
      <c r="F195" s="73"/>
      <c r="G195" s="73">
        <v>3</v>
      </c>
      <c r="H195" s="73"/>
      <c r="I195" s="73"/>
      <c r="J195" s="26">
        <f t="shared" si="6"/>
        <v>3</v>
      </c>
      <c r="K195" s="26">
        <v>17</v>
      </c>
      <c r="L195" s="80">
        <v>4</v>
      </c>
      <c r="M195" s="79">
        <v>4</v>
      </c>
      <c r="N195" s="80"/>
      <c r="O195" s="82"/>
      <c r="P195" s="80">
        <v>3</v>
      </c>
      <c r="Q195" s="26">
        <f>SUM(L195, M195, N195, O195, P195)</f>
        <v>11</v>
      </c>
      <c r="R195" s="25">
        <v>5</v>
      </c>
      <c r="S195" s="28">
        <f t="shared" si="8"/>
        <v>36</v>
      </c>
    </row>
    <row r="196" spans="2:19" x14ac:dyDescent="0.3">
      <c r="L196" s="52"/>
      <c r="M196" s="52"/>
      <c r="N196" s="52"/>
      <c r="O196" s="52"/>
      <c r="P196" s="52"/>
      <c r="R196" s="52"/>
    </row>
    <row r="197" spans="2:19" x14ac:dyDescent="0.3">
      <c r="L197" s="52"/>
      <c r="M197" s="52"/>
      <c r="N197" s="52"/>
      <c r="O197" s="52"/>
      <c r="P197" s="52"/>
      <c r="R197" s="52"/>
    </row>
    <row r="198" spans="2:19" x14ac:dyDescent="0.3">
      <c r="L198" s="52"/>
      <c r="M198" s="52"/>
      <c r="N198" s="52"/>
      <c r="O198" s="52"/>
      <c r="P198" s="52"/>
      <c r="R198" s="52"/>
    </row>
    <row r="199" spans="2:19" x14ac:dyDescent="0.3">
      <c r="L199" s="52"/>
      <c r="M199" s="52"/>
      <c r="N199" s="52"/>
      <c r="O199" s="52"/>
      <c r="P199" s="52"/>
      <c r="R199" s="52"/>
    </row>
    <row r="200" spans="2:19" x14ac:dyDescent="0.3">
      <c r="L200" s="52"/>
      <c r="M200" s="52"/>
      <c r="N200" s="52"/>
      <c r="O200" s="52"/>
      <c r="P200" s="52"/>
      <c r="R200" s="52"/>
    </row>
    <row r="201" spans="2:19" x14ac:dyDescent="0.3">
      <c r="L201" s="52"/>
      <c r="M201" s="52"/>
      <c r="N201" s="52"/>
      <c r="O201" s="52"/>
      <c r="P201" s="52"/>
      <c r="R201" s="52"/>
    </row>
    <row r="202" spans="2:19" x14ac:dyDescent="0.3">
      <c r="L202" s="52"/>
      <c r="M202" s="52"/>
      <c r="N202" s="52"/>
      <c r="O202" s="52"/>
      <c r="P202" s="52"/>
      <c r="R202" s="52"/>
    </row>
    <row r="203" spans="2:19" x14ac:dyDescent="0.3">
      <c r="L203" s="52"/>
      <c r="M203" s="52"/>
      <c r="N203" s="52"/>
      <c r="O203" s="52"/>
      <c r="P203" s="52"/>
      <c r="R203" s="52"/>
    </row>
    <row r="204" spans="2:19" x14ac:dyDescent="0.3">
      <c r="L204" s="52"/>
      <c r="M204" s="52"/>
      <c r="N204" s="52"/>
      <c r="O204" s="52"/>
      <c r="P204" s="52"/>
      <c r="R204" s="52"/>
    </row>
    <row r="205" spans="2:19" x14ac:dyDescent="0.3">
      <c r="N205" s="52"/>
    </row>
    <row r="206" spans="2:19" x14ac:dyDescent="0.3">
      <c r="N206" s="52"/>
    </row>
  </sheetData>
  <mergeCells count="23">
    <mergeCell ref="V27:Z27"/>
    <mergeCell ref="E11:J11"/>
    <mergeCell ref="K11:K13"/>
    <mergeCell ref="L11:Q12"/>
    <mergeCell ref="R11:R13"/>
    <mergeCell ref="S11:S13"/>
    <mergeCell ref="E12:F12"/>
    <mergeCell ref="G12:H12"/>
    <mergeCell ref="J12:J13"/>
    <mergeCell ref="U18:Z18"/>
    <mergeCell ref="U19:V19"/>
    <mergeCell ref="U20:U21"/>
    <mergeCell ref="U22:U23"/>
    <mergeCell ref="U24:U25"/>
    <mergeCell ref="B11:B14"/>
    <mergeCell ref="C11:C14"/>
    <mergeCell ref="B7:S7"/>
    <mergeCell ref="B8:K8"/>
    <mergeCell ref="L8:S8"/>
    <mergeCell ref="B9:E9"/>
    <mergeCell ref="F9:H9"/>
    <mergeCell ref="I9:K9"/>
    <mergeCell ref="L9:S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B4699-BB2E-400A-B50F-06CF2C4CFCE3}">
  <dimension ref="B6:AL204"/>
  <sheetViews>
    <sheetView zoomScaleNormal="100" workbookViewId="0">
      <selection activeCell="Z9" sqref="Z9:AE9"/>
    </sheetView>
  </sheetViews>
  <sheetFormatPr defaultRowHeight="14.4" x14ac:dyDescent="0.3"/>
  <cols>
    <col min="3" max="3" width="14.44140625" bestFit="1" customWidth="1"/>
    <col min="4" max="4" width="0.109375" customWidth="1"/>
    <col min="5" max="9" width="8.88671875" hidden="1" customWidth="1"/>
    <col min="10" max="10" width="17.33203125" hidden="1" customWidth="1"/>
    <col min="11" max="11" width="14.5546875" hidden="1" customWidth="1"/>
    <col min="12" max="14" width="8.88671875" hidden="1" customWidth="1"/>
    <col min="15" max="15" width="15" hidden="1" customWidth="1"/>
    <col min="16" max="16" width="12.109375" hidden="1" customWidth="1"/>
    <col min="17" max="18" width="8.88671875" hidden="1" customWidth="1"/>
    <col min="24" max="24" width="17.33203125" bestFit="1" customWidth="1"/>
    <col min="25" max="25" width="14.5546875" bestFit="1" customWidth="1"/>
    <col min="29" max="29" width="15.5546875" customWidth="1"/>
    <col min="30" max="30" width="12.109375" style="52" bestFit="1" customWidth="1"/>
  </cols>
  <sheetData>
    <row r="6" spans="2:38" ht="36" customHeight="1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 t="s">
        <v>220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3"/>
      <c r="AE6" s="1"/>
      <c r="AF6" s="1"/>
      <c r="AG6" s="1"/>
      <c r="AH6" s="1"/>
      <c r="AI6" s="1"/>
      <c r="AJ6" s="1"/>
      <c r="AK6" s="1"/>
      <c r="AL6" s="1"/>
    </row>
    <row r="7" spans="2:38" ht="32.4" customHeight="1" x14ac:dyDescent="0.3">
      <c r="B7" s="154" t="s">
        <v>0</v>
      </c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1"/>
      <c r="AG7" s="1"/>
      <c r="AH7" s="1"/>
      <c r="AI7" s="1"/>
      <c r="AJ7" s="1"/>
      <c r="AK7" s="1"/>
      <c r="AL7" s="1"/>
    </row>
    <row r="8" spans="2:38" ht="22.2" customHeight="1" x14ac:dyDescent="0.3">
      <c r="B8" s="156" t="s">
        <v>1</v>
      </c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 t="s">
        <v>221</v>
      </c>
      <c r="AA8" s="156"/>
      <c r="AB8" s="156"/>
      <c r="AC8" s="156"/>
      <c r="AD8" s="156"/>
      <c r="AE8" s="156"/>
      <c r="AF8" s="1"/>
      <c r="AG8" s="1"/>
      <c r="AH8" s="1"/>
      <c r="AI8" s="1"/>
      <c r="AJ8" s="1"/>
      <c r="AK8" s="1"/>
      <c r="AL8" s="1"/>
    </row>
    <row r="9" spans="2:38" ht="22.2" customHeight="1" x14ac:dyDescent="0.3">
      <c r="B9" s="157" t="s">
        <v>3</v>
      </c>
      <c r="C9" s="158"/>
      <c r="D9" s="158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  <c r="R9" s="158"/>
      <c r="S9" s="159"/>
      <c r="T9" s="157" t="s">
        <v>4</v>
      </c>
      <c r="U9" s="158"/>
      <c r="V9" s="159"/>
      <c r="W9" s="160" t="s">
        <v>5</v>
      </c>
      <c r="X9" s="161"/>
      <c r="Y9" s="162"/>
      <c r="Z9" s="157" t="s">
        <v>6</v>
      </c>
      <c r="AA9" s="158"/>
      <c r="AB9" s="158"/>
      <c r="AC9" s="158"/>
      <c r="AD9" s="158"/>
      <c r="AE9" s="159"/>
      <c r="AF9" s="1"/>
      <c r="AG9" s="1"/>
      <c r="AH9" s="1"/>
      <c r="AI9" s="1"/>
      <c r="AJ9" s="1"/>
      <c r="AK9" s="1"/>
      <c r="AL9" s="1"/>
    </row>
    <row r="10" spans="2:38" x14ac:dyDescent="0.3"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1"/>
      <c r="Q10" s="1" t="s">
        <v>220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3"/>
      <c r="AE10" s="1"/>
      <c r="AF10" s="1"/>
      <c r="AG10" s="1"/>
      <c r="AH10" s="1"/>
      <c r="AI10" s="1"/>
      <c r="AJ10" s="1"/>
      <c r="AK10" s="1"/>
      <c r="AL10" s="1"/>
    </row>
    <row r="11" spans="2:38" ht="15.6" x14ac:dyDescent="0.3">
      <c r="B11" s="152" t="s">
        <v>7</v>
      </c>
      <c r="C11" s="152" t="s">
        <v>8</v>
      </c>
      <c r="D11" s="164" t="s">
        <v>9</v>
      </c>
      <c r="E11" s="164"/>
      <c r="F11" s="164"/>
      <c r="G11" s="164"/>
      <c r="H11" s="164"/>
      <c r="I11" s="164"/>
      <c r="J11" s="164"/>
      <c r="K11" s="165" t="s">
        <v>222</v>
      </c>
      <c r="L11" s="164" t="s">
        <v>223</v>
      </c>
      <c r="M11" s="164"/>
      <c r="N11" s="164"/>
      <c r="O11" s="164"/>
      <c r="P11" s="165" t="s">
        <v>224</v>
      </c>
      <c r="Q11" s="165" t="s">
        <v>225</v>
      </c>
      <c r="R11" s="6"/>
      <c r="S11" s="164" t="s">
        <v>10</v>
      </c>
      <c r="T11" s="164"/>
      <c r="U11" s="164"/>
      <c r="V11" s="164"/>
      <c r="W11" s="164"/>
      <c r="X11" s="164"/>
      <c r="Y11" s="165" t="s">
        <v>11</v>
      </c>
      <c r="Z11" s="164" t="s">
        <v>12</v>
      </c>
      <c r="AA11" s="164"/>
      <c r="AB11" s="164"/>
      <c r="AC11" s="164"/>
      <c r="AD11" s="165" t="s">
        <v>13</v>
      </c>
      <c r="AE11" s="165" t="s">
        <v>14</v>
      </c>
      <c r="AF11" s="1"/>
      <c r="AG11" s="1"/>
      <c r="AH11" s="1"/>
      <c r="AI11" s="1"/>
      <c r="AJ11" s="1"/>
      <c r="AK11" s="1"/>
      <c r="AL11" s="1"/>
    </row>
    <row r="12" spans="2:38" ht="15.6" x14ac:dyDescent="0.3">
      <c r="B12" s="152"/>
      <c r="C12" s="152"/>
      <c r="D12" s="152">
        <v>1</v>
      </c>
      <c r="E12" s="152"/>
      <c r="F12" s="152">
        <v>2</v>
      </c>
      <c r="G12" s="152"/>
      <c r="H12" s="152">
        <v>3</v>
      </c>
      <c r="I12" s="152"/>
      <c r="J12" s="165" t="s">
        <v>226</v>
      </c>
      <c r="K12" s="165"/>
      <c r="L12" s="164"/>
      <c r="M12" s="164"/>
      <c r="N12" s="164"/>
      <c r="O12" s="164"/>
      <c r="P12" s="165"/>
      <c r="Q12" s="165"/>
      <c r="R12" s="6"/>
      <c r="S12" s="160">
        <v>1</v>
      </c>
      <c r="T12" s="162"/>
      <c r="U12" s="160">
        <v>2</v>
      </c>
      <c r="V12" s="162"/>
      <c r="W12" s="4">
        <v>3</v>
      </c>
      <c r="X12" s="166" t="s">
        <v>15</v>
      </c>
      <c r="Y12" s="165"/>
      <c r="Z12" s="164"/>
      <c r="AA12" s="164"/>
      <c r="AB12" s="164"/>
      <c r="AC12" s="164"/>
      <c r="AD12" s="165"/>
      <c r="AE12" s="165"/>
      <c r="AF12" s="1"/>
      <c r="AG12" s="1"/>
      <c r="AH12" s="1"/>
      <c r="AI12" s="1"/>
      <c r="AJ12" s="1"/>
      <c r="AK12" s="1"/>
      <c r="AL12" s="1"/>
    </row>
    <row r="13" spans="2:38" ht="31.2" x14ac:dyDescent="0.3">
      <c r="B13" s="152"/>
      <c r="C13" s="152"/>
      <c r="D13" s="4" t="s">
        <v>16</v>
      </c>
      <c r="E13" s="4" t="s">
        <v>44</v>
      </c>
      <c r="F13" s="4" t="s">
        <v>16</v>
      </c>
      <c r="G13" s="4" t="s">
        <v>44</v>
      </c>
      <c r="H13" s="4" t="s">
        <v>16</v>
      </c>
      <c r="I13" s="4" t="s">
        <v>44</v>
      </c>
      <c r="J13" s="165"/>
      <c r="K13" s="165"/>
      <c r="L13" s="4">
        <v>1</v>
      </c>
      <c r="M13" s="4">
        <v>2</v>
      </c>
      <c r="N13" s="4">
        <v>3</v>
      </c>
      <c r="O13" s="7" t="s">
        <v>23</v>
      </c>
      <c r="P13" s="165"/>
      <c r="Q13" s="165"/>
      <c r="R13" s="6"/>
      <c r="S13" s="4" t="s">
        <v>17</v>
      </c>
      <c r="T13" s="4" t="s">
        <v>18</v>
      </c>
      <c r="U13" s="4" t="s">
        <v>17</v>
      </c>
      <c r="V13" s="4" t="s">
        <v>18</v>
      </c>
      <c r="W13" s="4" t="s">
        <v>17</v>
      </c>
      <c r="X13" s="166"/>
      <c r="Y13" s="165"/>
      <c r="Z13" s="4">
        <v>1</v>
      </c>
      <c r="AA13" s="4">
        <v>2</v>
      </c>
      <c r="AB13" s="4">
        <v>3</v>
      </c>
      <c r="AC13" s="7" t="s">
        <v>23</v>
      </c>
      <c r="AD13" s="165"/>
      <c r="AE13" s="165"/>
      <c r="AF13" s="1"/>
      <c r="AG13" s="1"/>
      <c r="AH13" s="1"/>
      <c r="AI13" s="1"/>
      <c r="AJ13" s="1"/>
      <c r="AK13" s="1"/>
      <c r="AL13" s="1"/>
    </row>
    <row r="14" spans="2:38" ht="21.6" customHeight="1" x14ac:dyDescent="0.3">
      <c r="B14" s="152"/>
      <c r="C14" s="152"/>
      <c r="D14" s="4" t="s">
        <v>24</v>
      </c>
      <c r="E14" s="4" t="s">
        <v>24</v>
      </c>
      <c r="F14" s="4" t="s">
        <v>24</v>
      </c>
      <c r="G14" s="4" t="s">
        <v>227</v>
      </c>
      <c r="H14" s="4" t="s">
        <v>24</v>
      </c>
      <c r="I14" s="4" t="s">
        <v>228</v>
      </c>
      <c r="J14" s="5" t="s">
        <v>26</v>
      </c>
      <c r="K14" s="5" t="s">
        <v>27</v>
      </c>
      <c r="L14" s="4" t="s">
        <v>24</v>
      </c>
      <c r="M14" s="4" t="s">
        <v>24</v>
      </c>
      <c r="N14" s="4" t="s">
        <v>228</v>
      </c>
      <c r="O14" s="5" t="s">
        <v>27</v>
      </c>
      <c r="P14" s="5" t="s">
        <v>29</v>
      </c>
      <c r="Q14" s="5" t="s">
        <v>30</v>
      </c>
      <c r="R14" s="6"/>
      <c r="S14" s="4" t="s">
        <v>28</v>
      </c>
      <c r="T14" s="4" t="s">
        <v>229</v>
      </c>
      <c r="U14" s="4" t="s">
        <v>25</v>
      </c>
      <c r="V14" s="4" t="s">
        <v>25</v>
      </c>
      <c r="W14" s="4" t="s">
        <v>25</v>
      </c>
      <c r="X14" s="5" t="s">
        <v>26</v>
      </c>
      <c r="Y14" s="5" t="s">
        <v>27</v>
      </c>
      <c r="Z14" s="4" t="s">
        <v>230</v>
      </c>
      <c r="AA14" s="4" t="s">
        <v>230</v>
      </c>
      <c r="AB14" s="4" t="s">
        <v>231</v>
      </c>
      <c r="AC14" s="5" t="s">
        <v>27</v>
      </c>
      <c r="AD14" s="5" t="s">
        <v>29</v>
      </c>
      <c r="AE14" s="5" t="s">
        <v>30</v>
      </c>
      <c r="AF14" s="1"/>
      <c r="AG14" s="1"/>
      <c r="AH14" s="1"/>
      <c r="AI14" s="1"/>
      <c r="AJ14" s="1"/>
      <c r="AK14" s="1"/>
      <c r="AL14" s="1"/>
    </row>
    <row r="15" spans="2:38" ht="19.2" customHeight="1" x14ac:dyDescent="0.3">
      <c r="B15" s="8">
        <v>1</v>
      </c>
      <c r="C15" s="9" t="s">
        <v>31</v>
      </c>
      <c r="D15" s="8"/>
      <c r="E15" s="10"/>
      <c r="F15" s="10"/>
      <c r="G15" s="10"/>
      <c r="H15" s="10"/>
      <c r="I15" s="11"/>
      <c r="J15" s="10">
        <f>SUM(D15:I15)</f>
        <v>0</v>
      </c>
      <c r="K15" s="12"/>
      <c r="L15" s="10"/>
      <c r="M15" s="10"/>
      <c r="N15" s="10"/>
      <c r="O15" s="10">
        <f>SUM(L15:N15)</f>
        <v>0</v>
      </c>
      <c r="P15" s="10"/>
      <c r="Q15" s="13"/>
      <c r="R15" s="14"/>
      <c r="S15" s="8">
        <v>4</v>
      </c>
      <c r="T15" s="10">
        <v>6</v>
      </c>
      <c r="U15" s="10">
        <v>4</v>
      </c>
      <c r="V15" s="10">
        <v>6</v>
      </c>
      <c r="W15" s="11">
        <v>6</v>
      </c>
      <c r="X15" s="26">
        <f>SUM(S15:W15)</f>
        <v>26</v>
      </c>
      <c r="Y15" s="70">
        <v>15</v>
      </c>
      <c r="Z15" s="10">
        <v>8</v>
      </c>
      <c r="AA15" s="10">
        <v>2</v>
      </c>
      <c r="AB15" s="10">
        <v>2</v>
      </c>
      <c r="AC15" s="26">
        <f>SUM(Z15:AB15)</f>
        <v>12</v>
      </c>
      <c r="AD15" s="25">
        <v>5</v>
      </c>
      <c r="AE15" s="28">
        <f>SUM(AD15+AC15+Y15+X15)</f>
        <v>58</v>
      </c>
      <c r="AF15" s="1"/>
      <c r="AG15" s="1"/>
      <c r="AH15" s="1"/>
      <c r="AI15" s="1"/>
      <c r="AJ15" s="1"/>
      <c r="AK15" s="1"/>
      <c r="AL15" s="1"/>
    </row>
    <row r="16" spans="2:38" ht="19.2" customHeight="1" x14ac:dyDescent="0.3">
      <c r="B16" s="8">
        <v>2</v>
      </c>
      <c r="C16" s="15" t="s">
        <v>32</v>
      </c>
      <c r="D16" s="8"/>
      <c r="E16" s="10"/>
      <c r="F16" s="10"/>
      <c r="G16" s="10"/>
      <c r="H16" s="10"/>
      <c r="I16" s="11"/>
      <c r="J16" s="10">
        <f t="shared" ref="J16:J72" si="0">SUM(D16:I16)</f>
        <v>0</v>
      </c>
      <c r="K16" s="12"/>
      <c r="L16" s="10"/>
      <c r="M16" s="10"/>
      <c r="N16" s="10"/>
      <c r="O16" s="10">
        <f t="shared" ref="O16:O72" si="1">SUM(L16:N16)</f>
        <v>0</v>
      </c>
      <c r="P16" s="10"/>
      <c r="Q16" s="13"/>
      <c r="R16" s="16"/>
      <c r="S16" s="26"/>
      <c r="T16" s="26">
        <v>5</v>
      </c>
      <c r="U16" s="26">
        <v>4</v>
      </c>
      <c r="V16" s="26">
        <v>5</v>
      </c>
      <c r="W16" s="26">
        <v>4</v>
      </c>
      <c r="X16" s="26">
        <f t="shared" ref="X16:X79" si="2">SUM(S16:W16)</f>
        <v>18</v>
      </c>
      <c r="Y16" s="70">
        <v>9</v>
      </c>
      <c r="Z16" s="27">
        <v>6</v>
      </c>
      <c r="AA16" s="27">
        <v>3</v>
      </c>
      <c r="AB16" s="27">
        <v>0</v>
      </c>
      <c r="AC16" s="26">
        <f t="shared" ref="AC16:AC79" si="3">SUM(Z16:AB16)</f>
        <v>9</v>
      </c>
      <c r="AD16" s="69">
        <v>5</v>
      </c>
      <c r="AE16" s="28">
        <f t="shared" ref="AE16:AE79" si="4">SUM(AD16+AC16+Y16+X16)</f>
        <v>41</v>
      </c>
      <c r="AF16" s="1"/>
      <c r="AG16" s="1"/>
    </row>
    <row r="17" spans="2:38" ht="19.2" customHeight="1" x14ac:dyDescent="0.3">
      <c r="B17" s="8">
        <v>3</v>
      </c>
      <c r="C17" s="15" t="s">
        <v>33</v>
      </c>
      <c r="D17" s="8"/>
      <c r="E17" s="10"/>
      <c r="F17" s="10"/>
      <c r="G17" s="17"/>
      <c r="H17" s="10"/>
      <c r="I17" s="11"/>
      <c r="J17" s="10">
        <f t="shared" si="0"/>
        <v>0</v>
      </c>
      <c r="K17" s="12"/>
      <c r="L17" s="10"/>
      <c r="M17" s="10"/>
      <c r="N17" s="10"/>
      <c r="O17" s="10">
        <f t="shared" si="1"/>
        <v>0</v>
      </c>
      <c r="P17" s="10"/>
      <c r="Q17" s="13"/>
      <c r="R17" s="16"/>
      <c r="S17" s="8">
        <v>4</v>
      </c>
      <c r="T17" s="10">
        <v>8</v>
      </c>
      <c r="U17" s="10">
        <v>5</v>
      </c>
      <c r="V17" s="10">
        <v>6</v>
      </c>
      <c r="W17" s="11">
        <v>6</v>
      </c>
      <c r="X17" s="26">
        <f t="shared" si="2"/>
        <v>29</v>
      </c>
      <c r="Y17" s="70">
        <v>9</v>
      </c>
      <c r="Z17" s="10">
        <v>8</v>
      </c>
      <c r="AA17" s="10">
        <v>8</v>
      </c>
      <c r="AB17" s="10">
        <v>4</v>
      </c>
      <c r="AC17" s="26">
        <f t="shared" si="3"/>
        <v>20</v>
      </c>
      <c r="AD17" s="25">
        <v>5</v>
      </c>
      <c r="AE17" s="28">
        <f t="shared" si="4"/>
        <v>63</v>
      </c>
      <c r="AF17" s="1"/>
      <c r="AG17" s="1"/>
    </row>
    <row r="18" spans="2:38" ht="19.2" customHeight="1" x14ac:dyDescent="0.3">
      <c r="B18" s="8">
        <v>4</v>
      </c>
      <c r="C18" s="15" t="s">
        <v>34</v>
      </c>
      <c r="D18" s="8"/>
      <c r="E18" s="10"/>
      <c r="F18" s="10"/>
      <c r="G18" s="17"/>
      <c r="H18" s="17"/>
      <c r="I18" s="11"/>
      <c r="J18" s="10">
        <f t="shared" si="0"/>
        <v>0</v>
      </c>
      <c r="K18" s="12"/>
      <c r="L18" s="10"/>
      <c r="M18" s="10"/>
      <c r="N18" s="10"/>
      <c r="O18" s="10">
        <f t="shared" si="1"/>
        <v>0</v>
      </c>
      <c r="P18" s="10"/>
      <c r="Q18" s="13"/>
      <c r="R18" s="16"/>
      <c r="S18" s="8">
        <v>4</v>
      </c>
      <c r="T18" s="10">
        <v>8</v>
      </c>
      <c r="U18" s="10">
        <v>6</v>
      </c>
      <c r="V18" s="10">
        <v>5</v>
      </c>
      <c r="W18" s="11">
        <v>6</v>
      </c>
      <c r="X18" s="26">
        <f t="shared" si="2"/>
        <v>29</v>
      </c>
      <c r="Y18" s="70">
        <v>15</v>
      </c>
      <c r="Z18" s="10">
        <v>7</v>
      </c>
      <c r="AA18" s="10">
        <v>7</v>
      </c>
      <c r="AB18" s="10">
        <v>1</v>
      </c>
      <c r="AC18" s="26">
        <f t="shared" si="3"/>
        <v>15</v>
      </c>
      <c r="AD18" s="69">
        <v>5</v>
      </c>
      <c r="AE18" s="28">
        <f t="shared" si="4"/>
        <v>64</v>
      </c>
      <c r="AF18" s="1"/>
      <c r="AG18" s="167" t="s">
        <v>35</v>
      </c>
      <c r="AH18" s="167"/>
      <c r="AI18" s="167"/>
      <c r="AJ18" s="167"/>
      <c r="AK18" s="167"/>
      <c r="AL18" s="167"/>
    </row>
    <row r="19" spans="2:38" ht="19.2" customHeight="1" x14ac:dyDescent="0.3">
      <c r="B19" s="8">
        <v>5</v>
      </c>
      <c r="C19" s="15" t="s">
        <v>36</v>
      </c>
      <c r="D19" s="8"/>
      <c r="E19" s="10"/>
      <c r="F19" s="10"/>
      <c r="G19" s="17"/>
      <c r="H19" s="17"/>
      <c r="I19" s="11"/>
      <c r="J19" s="10">
        <f t="shared" si="0"/>
        <v>0</v>
      </c>
      <c r="K19" s="12"/>
      <c r="L19" s="10"/>
      <c r="M19" s="10"/>
      <c r="N19" s="10"/>
      <c r="O19" s="10">
        <f t="shared" si="1"/>
        <v>0</v>
      </c>
      <c r="P19" s="10"/>
      <c r="Q19" s="13"/>
      <c r="R19" s="16"/>
      <c r="X19" s="26">
        <f t="shared" si="2"/>
        <v>0</v>
      </c>
      <c r="Y19" s="26"/>
      <c r="Z19" s="10"/>
      <c r="AA19" s="10"/>
      <c r="AB19" s="10"/>
      <c r="AC19" s="26">
        <f t="shared" si="3"/>
        <v>0</v>
      </c>
      <c r="AD19" s="25">
        <v>5</v>
      </c>
      <c r="AE19" s="28">
        <f t="shared" si="4"/>
        <v>5</v>
      </c>
      <c r="AF19" s="1"/>
      <c r="AG19" s="168" t="s">
        <v>37</v>
      </c>
      <c r="AH19" s="169"/>
      <c r="AI19" s="11" t="s">
        <v>38</v>
      </c>
      <c r="AJ19" s="30" t="s">
        <v>39</v>
      </c>
      <c r="AK19" s="11" t="s">
        <v>40</v>
      </c>
      <c r="AL19" s="20" t="s">
        <v>41</v>
      </c>
    </row>
    <row r="20" spans="2:38" ht="19.2" customHeight="1" x14ac:dyDescent="0.3">
      <c r="B20" s="8">
        <v>6</v>
      </c>
      <c r="C20" s="15" t="s">
        <v>42</v>
      </c>
      <c r="D20" s="8"/>
      <c r="E20" s="10"/>
      <c r="F20" s="10"/>
      <c r="G20" s="17"/>
      <c r="H20" s="17"/>
      <c r="I20" s="11"/>
      <c r="J20" s="10">
        <f t="shared" si="0"/>
        <v>0</v>
      </c>
      <c r="K20" s="12"/>
      <c r="L20" s="10"/>
      <c r="M20" s="10"/>
      <c r="N20" s="10"/>
      <c r="O20" s="10">
        <f t="shared" si="1"/>
        <v>0</v>
      </c>
      <c r="P20" s="10"/>
      <c r="Q20" s="13"/>
      <c r="R20" s="16"/>
      <c r="S20" s="8">
        <v>4</v>
      </c>
      <c r="T20" s="10">
        <v>4</v>
      </c>
      <c r="U20" s="10">
        <v>3</v>
      </c>
      <c r="V20" s="10">
        <v>5</v>
      </c>
      <c r="W20" s="11">
        <v>6</v>
      </c>
      <c r="X20" s="26">
        <f t="shared" si="2"/>
        <v>22</v>
      </c>
      <c r="Y20" s="70">
        <v>17</v>
      </c>
      <c r="Z20" s="10">
        <v>8</v>
      </c>
      <c r="AA20" s="10">
        <v>2</v>
      </c>
      <c r="AB20" s="10">
        <v>1</v>
      </c>
      <c r="AC20" s="26">
        <f t="shared" si="3"/>
        <v>11</v>
      </c>
      <c r="AD20" s="69">
        <v>5</v>
      </c>
      <c r="AE20" s="28">
        <f t="shared" si="4"/>
        <v>55</v>
      </c>
      <c r="AF20" s="1"/>
      <c r="AG20" s="170">
        <v>1</v>
      </c>
      <c r="AH20" s="10" t="s">
        <v>16</v>
      </c>
      <c r="AI20" s="13"/>
      <c r="AJ20" s="31"/>
      <c r="AK20" s="10"/>
      <c r="AL20" s="10"/>
    </row>
    <row r="21" spans="2:38" ht="19.2" customHeight="1" x14ac:dyDescent="0.3">
      <c r="B21" s="8">
        <v>7</v>
      </c>
      <c r="C21" s="15" t="s">
        <v>43</v>
      </c>
      <c r="D21" s="8"/>
      <c r="E21" s="10"/>
      <c r="F21" s="10"/>
      <c r="G21" s="10"/>
      <c r="H21" s="10"/>
      <c r="I21" s="11"/>
      <c r="J21" s="10">
        <f t="shared" si="0"/>
        <v>0</v>
      </c>
      <c r="K21" s="12"/>
      <c r="L21" s="10"/>
      <c r="M21" s="10"/>
      <c r="N21" s="10"/>
      <c r="O21" s="10">
        <f t="shared" si="1"/>
        <v>0</v>
      </c>
      <c r="P21" s="10"/>
      <c r="Q21" s="13"/>
      <c r="R21" s="16"/>
      <c r="S21" s="8">
        <v>4</v>
      </c>
      <c r="T21" s="10">
        <v>3</v>
      </c>
      <c r="U21" s="10">
        <v>5</v>
      </c>
      <c r="V21" s="10">
        <v>5</v>
      </c>
      <c r="W21" s="11">
        <v>6</v>
      </c>
      <c r="X21" s="26">
        <f t="shared" si="2"/>
        <v>23</v>
      </c>
      <c r="Y21" s="70">
        <v>17</v>
      </c>
      <c r="Z21" s="10">
        <v>6</v>
      </c>
      <c r="AA21" s="10">
        <v>2</v>
      </c>
      <c r="AB21" s="10">
        <v>4</v>
      </c>
      <c r="AC21" s="26">
        <f t="shared" si="3"/>
        <v>12</v>
      </c>
      <c r="AD21" s="25">
        <v>5</v>
      </c>
      <c r="AE21" s="28">
        <f t="shared" si="4"/>
        <v>57</v>
      </c>
      <c r="AF21" s="1"/>
      <c r="AG21" s="171"/>
      <c r="AH21" s="10" t="s">
        <v>44</v>
      </c>
      <c r="AI21" s="13"/>
      <c r="AJ21" s="32"/>
      <c r="AK21" s="10"/>
      <c r="AL21" s="10"/>
    </row>
    <row r="22" spans="2:38" ht="19.2" customHeight="1" x14ac:dyDescent="0.3">
      <c r="B22" s="8">
        <v>8</v>
      </c>
      <c r="C22" s="15" t="s">
        <v>45</v>
      </c>
      <c r="D22" s="8"/>
      <c r="E22" s="10"/>
      <c r="F22" s="10"/>
      <c r="G22" s="10"/>
      <c r="H22" s="10"/>
      <c r="I22" s="11"/>
      <c r="J22" s="10">
        <f t="shared" si="0"/>
        <v>0</v>
      </c>
      <c r="K22" s="12"/>
      <c r="L22" s="10"/>
      <c r="M22" s="10"/>
      <c r="N22" s="10"/>
      <c r="O22" s="10">
        <f t="shared" si="1"/>
        <v>0</v>
      </c>
      <c r="P22" s="10"/>
      <c r="Q22" s="13"/>
      <c r="R22" s="16"/>
      <c r="S22" s="8">
        <v>2</v>
      </c>
      <c r="T22" s="10">
        <v>6</v>
      </c>
      <c r="U22" s="10">
        <v>1</v>
      </c>
      <c r="V22" s="10">
        <v>2</v>
      </c>
      <c r="W22" s="11">
        <v>6</v>
      </c>
      <c r="X22" s="26">
        <f t="shared" si="2"/>
        <v>17</v>
      </c>
      <c r="Y22" s="70">
        <v>18</v>
      </c>
      <c r="Z22" s="10">
        <v>6</v>
      </c>
      <c r="AA22" s="10">
        <v>6</v>
      </c>
      <c r="AB22" s="10">
        <v>1</v>
      </c>
      <c r="AC22" s="26">
        <f t="shared" si="3"/>
        <v>13</v>
      </c>
      <c r="AD22" s="69">
        <v>5</v>
      </c>
      <c r="AE22" s="28">
        <f t="shared" si="4"/>
        <v>53</v>
      </c>
      <c r="AF22" s="1"/>
      <c r="AG22" s="170">
        <v>2</v>
      </c>
      <c r="AH22" s="10" t="s">
        <v>16</v>
      </c>
      <c r="AI22" s="13"/>
      <c r="AJ22" s="32"/>
      <c r="AK22" s="10"/>
      <c r="AL22" s="10"/>
    </row>
    <row r="23" spans="2:38" ht="19.2" customHeight="1" x14ac:dyDescent="0.3">
      <c r="B23" s="8">
        <v>9</v>
      </c>
      <c r="C23" s="15" t="s">
        <v>46</v>
      </c>
      <c r="D23" s="8"/>
      <c r="E23" s="10"/>
      <c r="F23" s="10"/>
      <c r="G23" s="10"/>
      <c r="H23" s="10"/>
      <c r="I23" s="11"/>
      <c r="J23" s="10">
        <f t="shared" si="0"/>
        <v>0</v>
      </c>
      <c r="K23" s="12"/>
      <c r="L23" s="10"/>
      <c r="M23" s="10"/>
      <c r="N23" s="10"/>
      <c r="O23" s="10">
        <f t="shared" si="1"/>
        <v>0</v>
      </c>
      <c r="P23" s="10"/>
      <c r="Q23" s="13"/>
      <c r="R23" s="16"/>
      <c r="S23" s="8">
        <v>3</v>
      </c>
      <c r="T23" s="10">
        <v>8</v>
      </c>
      <c r="U23" s="10">
        <v>6</v>
      </c>
      <c r="V23" s="10">
        <v>6</v>
      </c>
      <c r="W23" s="11">
        <v>6</v>
      </c>
      <c r="X23" s="26">
        <f t="shared" si="2"/>
        <v>29</v>
      </c>
      <c r="Y23" s="70">
        <v>9</v>
      </c>
      <c r="Z23" s="10">
        <v>7</v>
      </c>
      <c r="AA23" s="10">
        <v>7</v>
      </c>
      <c r="AB23" s="10">
        <v>4</v>
      </c>
      <c r="AC23" s="26">
        <f t="shared" si="3"/>
        <v>18</v>
      </c>
      <c r="AD23" s="25">
        <v>5</v>
      </c>
      <c r="AE23" s="28">
        <f t="shared" si="4"/>
        <v>61</v>
      </c>
      <c r="AF23" s="1"/>
      <c r="AG23" s="171"/>
      <c r="AH23" s="10" t="s">
        <v>44</v>
      </c>
      <c r="AI23" s="13"/>
      <c r="AJ23" s="32"/>
      <c r="AK23" s="10"/>
      <c r="AL23" s="10"/>
    </row>
    <row r="24" spans="2:38" ht="19.2" customHeight="1" x14ac:dyDescent="0.3">
      <c r="B24" s="8">
        <v>10</v>
      </c>
      <c r="C24" s="15" t="s">
        <v>47</v>
      </c>
      <c r="D24" s="8"/>
      <c r="E24" s="10"/>
      <c r="F24" s="10"/>
      <c r="G24" s="17"/>
      <c r="H24" s="10"/>
      <c r="I24" s="11"/>
      <c r="J24" s="10">
        <f t="shared" si="0"/>
        <v>0</v>
      </c>
      <c r="K24" s="12"/>
      <c r="L24" s="10"/>
      <c r="M24" s="10"/>
      <c r="N24" s="10"/>
      <c r="O24" s="10">
        <f t="shared" si="1"/>
        <v>0</v>
      </c>
      <c r="P24" s="10"/>
      <c r="Q24" s="13"/>
      <c r="R24" s="16"/>
      <c r="S24" s="8">
        <v>4</v>
      </c>
      <c r="T24" s="10">
        <v>7</v>
      </c>
      <c r="U24" s="10">
        <v>6</v>
      </c>
      <c r="V24" s="10">
        <v>6</v>
      </c>
      <c r="W24" s="11">
        <v>6</v>
      </c>
      <c r="X24" s="26">
        <f t="shared" si="2"/>
        <v>29</v>
      </c>
      <c r="Y24" s="70">
        <v>9</v>
      </c>
      <c r="Z24" s="10">
        <v>8</v>
      </c>
      <c r="AA24" s="10">
        <v>7</v>
      </c>
      <c r="AB24" s="10">
        <v>4</v>
      </c>
      <c r="AC24" s="26">
        <f t="shared" si="3"/>
        <v>19</v>
      </c>
      <c r="AD24" s="69">
        <v>5</v>
      </c>
      <c r="AE24" s="28">
        <f t="shared" si="4"/>
        <v>62</v>
      </c>
      <c r="AF24" s="1"/>
      <c r="AG24" s="170">
        <v>3</v>
      </c>
      <c r="AH24" s="10" t="s">
        <v>16</v>
      </c>
      <c r="AI24" s="13"/>
      <c r="AJ24" s="32"/>
      <c r="AK24" s="10"/>
      <c r="AL24" s="10"/>
    </row>
    <row r="25" spans="2:38" ht="19.2" customHeight="1" x14ac:dyDescent="0.3">
      <c r="B25" s="8">
        <v>11</v>
      </c>
      <c r="C25" s="15" t="s">
        <v>48</v>
      </c>
      <c r="D25" s="8"/>
      <c r="E25" s="10"/>
      <c r="F25" s="10"/>
      <c r="G25" s="10"/>
      <c r="H25" s="10"/>
      <c r="I25" s="11"/>
      <c r="J25" s="10">
        <f t="shared" si="0"/>
        <v>0</v>
      </c>
      <c r="K25" s="12"/>
      <c r="L25" s="10"/>
      <c r="M25" s="10"/>
      <c r="N25" s="10"/>
      <c r="O25" s="10">
        <f t="shared" si="1"/>
        <v>0</v>
      </c>
      <c r="P25" s="10"/>
      <c r="Q25" s="13"/>
      <c r="R25" s="16"/>
      <c r="S25" s="8">
        <v>4</v>
      </c>
      <c r="T25" s="10">
        <v>8</v>
      </c>
      <c r="U25" s="10">
        <v>3</v>
      </c>
      <c r="V25" s="10">
        <v>6</v>
      </c>
      <c r="W25" s="11">
        <v>6</v>
      </c>
      <c r="X25" s="26">
        <f t="shared" si="2"/>
        <v>27</v>
      </c>
      <c r="Y25" s="70">
        <v>8</v>
      </c>
      <c r="Z25" s="10">
        <v>8</v>
      </c>
      <c r="AA25" s="10">
        <v>8</v>
      </c>
      <c r="AB25" s="10">
        <v>4</v>
      </c>
      <c r="AC25" s="26">
        <f t="shared" si="3"/>
        <v>20</v>
      </c>
      <c r="AD25" s="25">
        <v>5</v>
      </c>
      <c r="AE25" s="28">
        <f t="shared" si="4"/>
        <v>60</v>
      </c>
      <c r="AF25" s="1"/>
      <c r="AG25" s="171"/>
      <c r="AH25" s="10" t="s">
        <v>44</v>
      </c>
      <c r="AI25" s="13"/>
      <c r="AJ25" s="32"/>
      <c r="AK25" s="10"/>
      <c r="AL25" s="10"/>
    </row>
    <row r="26" spans="2:38" ht="19.2" customHeight="1" x14ac:dyDescent="0.3">
      <c r="B26" s="8">
        <v>12</v>
      </c>
      <c r="C26" s="15" t="s">
        <v>49</v>
      </c>
      <c r="D26" s="8"/>
      <c r="E26" s="10"/>
      <c r="F26" s="10"/>
      <c r="G26" s="17"/>
      <c r="H26" s="17"/>
      <c r="I26" s="11"/>
      <c r="J26" s="10">
        <f t="shared" si="0"/>
        <v>0</v>
      </c>
      <c r="K26" s="12"/>
      <c r="L26" s="10"/>
      <c r="M26" s="10"/>
      <c r="N26" s="10"/>
      <c r="O26" s="10">
        <f t="shared" si="1"/>
        <v>0</v>
      </c>
      <c r="P26" s="10"/>
      <c r="Q26" s="13"/>
      <c r="R26" s="16"/>
      <c r="S26" s="8">
        <v>4</v>
      </c>
      <c r="T26" s="10">
        <v>4</v>
      </c>
      <c r="U26" s="10">
        <v>5</v>
      </c>
      <c r="V26" s="10">
        <v>5</v>
      </c>
      <c r="W26" s="11">
        <v>0</v>
      </c>
      <c r="X26" s="26">
        <f t="shared" si="2"/>
        <v>18</v>
      </c>
      <c r="Y26" s="70">
        <v>10</v>
      </c>
      <c r="Z26" s="10">
        <v>8</v>
      </c>
      <c r="AA26" s="10">
        <v>4</v>
      </c>
      <c r="AB26" s="10">
        <v>1</v>
      </c>
      <c r="AC26" s="26">
        <f t="shared" si="3"/>
        <v>13</v>
      </c>
      <c r="AD26" s="69">
        <v>5</v>
      </c>
      <c r="AE26" s="28">
        <f t="shared" si="4"/>
        <v>46</v>
      </c>
      <c r="AF26" s="1"/>
      <c r="AG26" s="1"/>
      <c r="AH26" s="1"/>
      <c r="AI26" s="1"/>
      <c r="AJ26" s="1"/>
      <c r="AK26" s="1"/>
      <c r="AL26" s="1"/>
    </row>
    <row r="27" spans="2:38" ht="19.2" customHeight="1" x14ac:dyDescent="0.3">
      <c r="B27" s="8">
        <v>13</v>
      </c>
      <c r="C27" s="15" t="s">
        <v>50</v>
      </c>
      <c r="D27" s="8"/>
      <c r="E27" s="10"/>
      <c r="F27" s="10"/>
      <c r="G27" s="10"/>
      <c r="H27" s="10"/>
      <c r="I27" s="11"/>
      <c r="J27" s="10">
        <f t="shared" si="0"/>
        <v>0</v>
      </c>
      <c r="K27" s="12"/>
      <c r="L27" s="10"/>
      <c r="M27" s="10"/>
      <c r="N27" s="10"/>
      <c r="O27" s="10">
        <f t="shared" si="1"/>
        <v>0</v>
      </c>
      <c r="P27" s="10"/>
      <c r="Q27" s="13"/>
      <c r="R27" s="16"/>
      <c r="S27" s="8">
        <v>4</v>
      </c>
      <c r="T27" s="10">
        <v>8</v>
      </c>
      <c r="U27" s="10">
        <v>6</v>
      </c>
      <c r="V27" s="10">
        <v>6</v>
      </c>
      <c r="W27" s="11">
        <v>6</v>
      </c>
      <c r="X27" s="26">
        <f t="shared" si="2"/>
        <v>30</v>
      </c>
      <c r="Y27" s="70">
        <v>13</v>
      </c>
      <c r="Z27" s="10">
        <v>6</v>
      </c>
      <c r="AA27" s="10">
        <v>7</v>
      </c>
      <c r="AB27" s="10">
        <v>1</v>
      </c>
      <c r="AC27" s="26">
        <f t="shared" si="3"/>
        <v>14</v>
      </c>
      <c r="AD27" s="25">
        <v>5</v>
      </c>
      <c r="AE27" s="28">
        <f t="shared" si="4"/>
        <v>62</v>
      </c>
      <c r="AF27" s="1"/>
      <c r="AG27" s="39"/>
      <c r="AH27" s="163" t="s">
        <v>51</v>
      </c>
      <c r="AI27" s="163"/>
      <c r="AJ27" s="163"/>
      <c r="AK27" s="163"/>
      <c r="AL27" s="163"/>
    </row>
    <row r="28" spans="2:38" ht="19.2" customHeight="1" x14ac:dyDescent="0.3">
      <c r="B28" s="8">
        <v>14</v>
      </c>
      <c r="C28" s="15" t="s">
        <v>52</v>
      </c>
      <c r="D28" s="8"/>
      <c r="E28" s="10"/>
      <c r="F28" s="10"/>
      <c r="G28" s="10"/>
      <c r="H28" s="10"/>
      <c r="I28" s="11"/>
      <c r="J28" s="10">
        <f t="shared" si="0"/>
        <v>0</v>
      </c>
      <c r="K28" s="12"/>
      <c r="L28" s="10"/>
      <c r="M28" s="10"/>
      <c r="N28" s="10"/>
      <c r="O28" s="10">
        <f t="shared" si="1"/>
        <v>0</v>
      </c>
      <c r="P28" s="10"/>
      <c r="Q28" s="13"/>
      <c r="R28" s="16"/>
      <c r="S28" s="8">
        <v>4</v>
      </c>
      <c r="T28" s="10">
        <v>4</v>
      </c>
      <c r="U28" s="10">
        <v>6</v>
      </c>
      <c r="V28" s="10">
        <v>6</v>
      </c>
      <c r="W28" s="11">
        <v>6</v>
      </c>
      <c r="X28" s="26">
        <f t="shared" si="2"/>
        <v>26</v>
      </c>
      <c r="Y28" s="70">
        <v>10</v>
      </c>
      <c r="Z28" s="10">
        <v>6</v>
      </c>
      <c r="AA28" s="10">
        <v>7</v>
      </c>
      <c r="AB28" s="10">
        <v>1</v>
      </c>
      <c r="AC28" s="26">
        <f t="shared" si="3"/>
        <v>14</v>
      </c>
      <c r="AD28" s="69">
        <v>5</v>
      </c>
      <c r="AE28" s="28">
        <f t="shared" si="4"/>
        <v>55</v>
      </c>
      <c r="AF28" s="1"/>
      <c r="AH28" s="33" t="s">
        <v>37</v>
      </c>
      <c r="AI28" s="34" t="s">
        <v>38</v>
      </c>
      <c r="AJ28" s="34" t="s">
        <v>39</v>
      </c>
      <c r="AK28" s="34" t="s">
        <v>40</v>
      </c>
      <c r="AL28" s="34" t="s">
        <v>41</v>
      </c>
    </row>
    <row r="29" spans="2:38" ht="19.2" customHeight="1" x14ac:dyDescent="0.3">
      <c r="B29" s="8">
        <v>15</v>
      </c>
      <c r="C29" s="15" t="s">
        <v>53</v>
      </c>
      <c r="D29" s="8"/>
      <c r="E29" s="10"/>
      <c r="F29" s="10"/>
      <c r="G29" s="10"/>
      <c r="H29" s="10"/>
      <c r="I29" s="11"/>
      <c r="J29" s="10">
        <f t="shared" si="0"/>
        <v>0</v>
      </c>
      <c r="K29" s="12"/>
      <c r="L29" s="10"/>
      <c r="M29" s="10"/>
      <c r="N29" s="10"/>
      <c r="O29" s="10">
        <f t="shared" si="1"/>
        <v>0</v>
      </c>
      <c r="P29" s="10"/>
      <c r="Q29" s="13"/>
      <c r="R29" s="16"/>
      <c r="S29" s="8">
        <v>4</v>
      </c>
      <c r="T29" s="10">
        <v>8</v>
      </c>
      <c r="U29" s="10">
        <v>6</v>
      </c>
      <c r="V29" s="10">
        <v>6</v>
      </c>
      <c r="W29" s="11">
        <v>6</v>
      </c>
      <c r="X29" s="26">
        <f t="shared" si="2"/>
        <v>30</v>
      </c>
      <c r="Y29" s="70">
        <v>13</v>
      </c>
      <c r="Z29" s="10">
        <v>8</v>
      </c>
      <c r="AA29" s="10">
        <v>6</v>
      </c>
      <c r="AB29" s="10">
        <v>0</v>
      </c>
      <c r="AC29" s="26">
        <f t="shared" si="3"/>
        <v>14</v>
      </c>
      <c r="AD29" s="25">
        <v>5</v>
      </c>
      <c r="AE29" s="28">
        <f t="shared" si="4"/>
        <v>62</v>
      </c>
      <c r="AF29" s="1"/>
      <c r="AH29" s="35">
        <v>1</v>
      </c>
      <c r="AI29" s="36"/>
      <c r="AJ29" s="29"/>
      <c r="AK29" s="29"/>
      <c r="AL29" s="36"/>
    </row>
    <row r="30" spans="2:38" ht="19.2" customHeight="1" x14ac:dyDescent="0.3">
      <c r="B30" s="8">
        <v>16</v>
      </c>
      <c r="C30" s="15" t="s">
        <v>54</v>
      </c>
      <c r="D30" s="8"/>
      <c r="E30" s="10"/>
      <c r="F30" s="10"/>
      <c r="G30" s="10"/>
      <c r="H30" s="10"/>
      <c r="I30" s="11"/>
      <c r="J30" s="10">
        <f t="shared" si="0"/>
        <v>0</v>
      </c>
      <c r="K30" s="12"/>
      <c r="L30" s="10"/>
      <c r="M30" s="10"/>
      <c r="N30" s="10"/>
      <c r="O30" s="10">
        <f t="shared" si="1"/>
        <v>0</v>
      </c>
      <c r="P30" s="10"/>
      <c r="Q30" s="13"/>
      <c r="R30" s="16"/>
      <c r="S30" s="8">
        <v>4</v>
      </c>
      <c r="T30" s="10">
        <v>7</v>
      </c>
      <c r="U30" s="10">
        <v>6</v>
      </c>
      <c r="V30" s="10">
        <v>6</v>
      </c>
      <c r="W30" s="11">
        <v>6</v>
      </c>
      <c r="X30" s="26">
        <f t="shared" si="2"/>
        <v>29</v>
      </c>
      <c r="Y30" s="70">
        <v>18</v>
      </c>
      <c r="Z30" s="10">
        <v>8</v>
      </c>
      <c r="AA30" s="10">
        <v>8</v>
      </c>
      <c r="AB30" s="10">
        <v>4</v>
      </c>
      <c r="AC30" s="26">
        <f t="shared" si="3"/>
        <v>20</v>
      </c>
      <c r="AD30" s="69">
        <v>5</v>
      </c>
      <c r="AE30" s="28">
        <f t="shared" si="4"/>
        <v>72</v>
      </c>
      <c r="AF30" s="1"/>
      <c r="AH30" s="35">
        <v>2</v>
      </c>
      <c r="AI30" s="36"/>
      <c r="AJ30" s="29"/>
      <c r="AK30" s="29"/>
      <c r="AL30" s="36"/>
    </row>
    <row r="31" spans="2:38" ht="19.2" customHeight="1" x14ac:dyDescent="0.3">
      <c r="B31" s="8">
        <v>17</v>
      </c>
      <c r="C31" s="15" t="s">
        <v>55</v>
      </c>
      <c r="D31" s="8"/>
      <c r="E31" s="10"/>
      <c r="F31" s="10"/>
      <c r="G31" s="10"/>
      <c r="H31" s="10"/>
      <c r="I31" s="11"/>
      <c r="J31" s="10">
        <f t="shared" si="0"/>
        <v>0</v>
      </c>
      <c r="K31" s="12"/>
      <c r="L31" s="10"/>
      <c r="M31" s="10"/>
      <c r="N31" s="10"/>
      <c r="O31" s="10">
        <f t="shared" si="1"/>
        <v>0</v>
      </c>
      <c r="P31" s="10"/>
      <c r="Q31" s="13"/>
      <c r="R31" s="16"/>
      <c r="S31" s="8">
        <v>4</v>
      </c>
      <c r="T31" s="10">
        <v>7</v>
      </c>
      <c r="U31" s="10">
        <v>6</v>
      </c>
      <c r="V31" s="10">
        <v>6</v>
      </c>
      <c r="W31" s="11">
        <v>6</v>
      </c>
      <c r="X31" s="26">
        <f t="shared" si="2"/>
        <v>29</v>
      </c>
      <c r="Y31" s="70">
        <v>12</v>
      </c>
      <c r="Z31" s="10">
        <v>8</v>
      </c>
      <c r="AA31" s="10">
        <v>8</v>
      </c>
      <c r="AB31" s="10">
        <v>2</v>
      </c>
      <c r="AC31" s="26">
        <f t="shared" si="3"/>
        <v>18</v>
      </c>
      <c r="AD31" s="25">
        <v>5</v>
      </c>
      <c r="AE31" s="28">
        <f t="shared" si="4"/>
        <v>64</v>
      </c>
      <c r="AF31" s="1"/>
      <c r="AH31" s="35">
        <v>3</v>
      </c>
      <c r="AI31" s="36"/>
      <c r="AJ31" s="29"/>
      <c r="AK31" s="29"/>
      <c r="AL31" s="36"/>
    </row>
    <row r="32" spans="2:38" ht="19.2" customHeight="1" x14ac:dyDescent="0.3">
      <c r="B32" s="8">
        <v>18</v>
      </c>
      <c r="C32" s="15" t="s">
        <v>56</v>
      </c>
      <c r="D32" s="8"/>
      <c r="E32" s="10"/>
      <c r="F32" s="10"/>
      <c r="G32" s="10"/>
      <c r="H32" s="10"/>
      <c r="I32" s="11"/>
      <c r="J32" s="10">
        <f t="shared" si="0"/>
        <v>0</v>
      </c>
      <c r="K32" s="12"/>
      <c r="L32" s="10"/>
      <c r="M32" s="10"/>
      <c r="N32" s="10"/>
      <c r="O32" s="10">
        <f t="shared" si="1"/>
        <v>0</v>
      </c>
      <c r="P32" s="10"/>
      <c r="Q32" s="13"/>
      <c r="R32" s="16"/>
      <c r="S32" s="8">
        <v>4</v>
      </c>
      <c r="T32" s="10">
        <v>7</v>
      </c>
      <c r="U32" s="10">
        <v>6</v>
      </c>
      <c r="V32" s="10">
        <v>6</v>
      </c>
      <c r="W32" s="11">
        <v>6</v>
      </c>
      <c r="X32" s="26">
        <f t="shared" si="2"/>
        <v>29</v>
      </c>
      <c r="Y32" s="70">
        <v>17</v>
      </c>
      <c r="Z32" s="10">
        <v>6</v>
      </c>
      <c r="AA32" s="10">
        <v>7</v>
      </c>
      <c r="AB32" s="10">
        <v>4</v>
      </c>
      <c r="AC32" s="26">
        <f t="shared" si="3"/>
        <v>17</v>
      </c>
      <c r="AD32" s="69">
        <v>5</v>
      </c>
      <c r="AE32" s="28">
        <f t="shared" si="4"/>
        <v>68</v>
      </c>
      <c r="AF32" s="1"/>
      <c r="AG32" s="38"/>
      <c r="AH32" s="38"/>
      <c r="AI32" s="38"/>
      <c r="AJ32" s="38"/>
      <c r="AK32" s="1"/>
      <c r="AL32" s="1"/>
    </row>
    <row r="33" spans="2:38" ht="19.2" customHeight="1" x14ac:dyDescent="0.3">
      <c r="B33" s="8">
        <v>19</v>
      </c>
      <c r="C33" s="15" t="s">
        <v>57</v>
      </c>
      <c r="D33" s="8"/>
      <c r="E33" s="10"/>
      <c r="F33" s="10"/>
      <c r="G33" s="10"/>
      <c r="H33" s="17"/>
      <c r="I33" s="11"/>
      <c r="J33" s="10">
        <f t="shared" si="0"/>
        <v>0</v>
      </c>
      <c r="K33" s="12"/>
      <c r="L33" s="10"/>
      <c r="M33" s="10"/>
      <c r="N33" s="10"/>
      <c r="O33" s="10">
        <f t="shared" si="1"/>
        <v>0</v>
      </c>
      <c r="P33" s="10"/>
      <c r="Q33" s="13"/>
      <c r="R33" s="16"/>
      <c r="S33" s="8">
        <v>4</v>
      </c>
      <c r="T33" s="10">
        <v>7</v>
      </c>
      <c r="U33" s="10">
        <v>6</v>
      </c>
      <c r="V33" s="10">
        <v>6</v>
      </c>
      <c r="W33" s="11">
        <v>6</v>
      </c>
      <c r="X33" s="26">
        <f t="shared" si="2"/>
        <v>29</v>
      </c>
      <c r="Y33" s="70">
        <v>14</v>
      </c>
      <c r="Z33" s="10">
        <v>8</v>
      </c>
      <c r="AA33" s="10">
        <v>7</v>
      </c>
      <c r="AB33" s="10">
        <v>2</v>
      </c>
      <c r="AC33" s="26">
        <f t="shared" si="3"/>
        <v>17</v>
      </c>
      <c r="AD33" s="25">
        <v>5</v>
      </c>
      <c r="AE33" s="28">
        <f t="shared" si="4"/>
        <v>65</v>
      </c>
      <c r="AF33" s="1"/>
      <c r="AG33" s="37"/>
      <c r="AH33" s="2"/>
      <c r="AI33" s="2"/>
      <c r="AJ33" s="2"/>
      <c r="AK33" s="1"/>
      <c r="AL33" s="1"/>
    </row>
    <row r="34" spans="2:38" ht="19.2" customHeight="1" x14ac:dyDescent="0.3">
      <c r="B34" s="8">
        <v>20</v>
      </c>
      <c r="C34" s="15" t="s">
        <v>58</v>
      </c>
      <c r="D34" s="8"/>
      <c r="E34" s="10"/>
      <c r="F34" s="10"/>
      <c r="G34" s="10"/>
      <c r="H34" s="17"/>
      <c r="I34" s="11"/>
      <c r="J34" s="10">
        <f t="shared" si="0"/>
        <v>0</v>
      </c>
      <c r="K34" s="12"/>
      <c r="L34" s="10"/>
      <c r="M34" s="10"/>
      <c r="N34" s="10"/>
      <c r="O34" s="10">
        <f t="shared" si="1"/>
        <v>0</v>
      </c>
      <c r="P34" s="10"/>
      <c r="Q34" s="13"/>
      <c r="R34" s="16"/>
      <c r="S34" s="8">
        <v>4</v>
      </c>
      <c r="T34" s="10">
        <v>7</v>
      </c>
      <c r="U34" s="10">
        <v>6</v>
      </c>
      <c r="V34" s="10">
        <v>6</v>
      </c>
      <c r="W34" s="11">
        <v>6</v>
      </c>
      <c r="X34" s="26">
        <f t="shared" si="2"/>
        <v>29</v>
      </c>
      <c r="Y34" s="70">
        <v>18</v>
      </c>
      <c r="Z34" s="10">
        <v>8</v>
      </c>
      <c r="AA34" s="10">
        <v>7</v>
      </c>
      <c r="AB34" s="10">
        <v>2</v>
      </c>
      <c r="AC34" s="26">
        <f t="shared" si="3"/>
        <v>17</v>
      </c>
      <c r="AD34" s="69">
        <v>5</v>
      </c>
      <c r="AE34" s="28">
        <f t="shared" si="4"/>
        <v>69</v>
      </c>
      <c r="AF34" s="1"/>
      <c r="AG34" s="3"/>
      <c r="AH34" s="1"/>
      <c r="AI34" s="1"/>
      <c r="AJ34" s="1"/>
      <c r="AK34" s="1"/>
      <c r="AL34" s="1"/>
    </row>
    <row r="35" spans="2:38" ht="19.2" customHeight="1" x14ac:dyDescent="0.3">
      <c r="B35" s="8">
        <v>21</v>
      </c>
      <c r="C35" s="15" t="s">
        <v>59</v>
      </c>
      <c r="D35" s="8"/>
      <c r="E35" s="10"/>
      <c r="F35" s="17"/>
      <c r="G35" s="10"/>
      <c r="H35" s="17"/>
      <c r="I35" s="11"/>
      <c r="J35" s="10">
        <f t="shared" si="0"/>
        <v>0</v>
      </c>
      <c r="K35" s="12"/>
      <c r="L35" s="10"/>
      <c r="M35" s="10"/>
      <c r="N35" s="10"/>
      <c r="O35" s="10">
        <f t="shared" si="1"/>
        <v>0</v>
      </c>
      <c r="P35" s="10"/>
      <c r="Q35" s="13"/>
      <c r="R35" s="16"/>
      <c r="S35" s="8">
        <v>4</v>
      </c>
      <c r="T35" s="10">
        <v>7</v>
      </c>
      <c r="U35" s="10">
        <v>5</v>
      </c>
      <c r="V35" s="10">
        <v>5</v>
      </c>
      <c r="W35" s="11">
        <v>6</v>
      </c>
      <c r="X35" s="26">
        <f t="shared" si="2"/>
        <v>27</v>
      </c>
      <c r="Y35" s="70">
        <v>12</v>
      </c>
      <c r="Z35" s="10">
        <v>6</v>
      </c>
      <c r="AA35" s="10">
        <v>8</v>
      </c>
      <c r="AB35" s="10">
        <v>4</v>
      </c>
      <c r="AC35" s="26">
        <f t="shared" si="3"/>
        <v>18</v>
      </c>
      <c r="AD35" s="25">
        <v>5</v>
      </c>
      <c r="AE35" s="28">
        <f t="shared" si="4"/>
        <v>62</v>
      </c>
      <c r="AF35" s="1"/>
      <c r="AG35" s="1"/>
      <c r="AH35" s="1"/>
      <c r="AI35" s="1"/>
      <c r="AJ35" s="1"/>
      <c r="AK35" s="1"/>
      <c r="AL35" s="1"/>
    </row>
    <row r="36" spans="2:38" ht="19.2" customHeight="1" x14ac:dyDescent="0.3">
      <c r="B36" s="8">
        <v>22</v>
      </c>
      <c r="C36" s="15" t="s">
        <v>60</v>
      </c>
      <c r="D36" s="8"/>
      <c r="E36" s="10"/>
      <c r="F36" s="10"/>
      <c r="G36" s="10"/>
      <c r="H36" s="10"/>
      <c r="I36" s="11"/>
      <c r="J36" s="10">
        <f t="shared" si="0"/>
        <v>0</v>
      </c>
      <c r="K36" s="12"/>
      <c r="L36" s="10"/>
      <c r="M36" s="10"/>
      <c r="N36" s="10"/>
      <c r="O36" s="10">
        <f t="shared" si="1"/>
        <v>0</v>
      </c>
      <c r="P36" s="10"/>
      <c r="Q36" s="13"/>
      <c r="R36" s="16"/>
      <c r="S36" s="8">
        <v>4</v>
      </c>
      <c r="T36" s="10">
        <v>5</v>
      </c>
      <c r="U36" s="10">
        <v>6</v>
      </c>
      <c r="V36" s="10">
        <v>6</v>
      </c>
      <c r="W36" s="11">
        <v>6</v>
      </c>
      <c r="X36" s="26">
        <f t="shared" si="2"/>
        <v>27</v>
      </c>
      <c r="Y36" s="70">
        <v>15</v>
      </c>
      <c r="Z36" s="10">
        <v>8</v>
      </c>
      <c r="AA36" s="10">
        <v>8</v>
      </c>
      <c r="AB36" s="10">
        <v>3</v>
      </c>
      <c r="AC36" s="26">
        <f t="shared" si="3"/>
        <v>19</v>
      </c>
      <c r="AD36" s="69">
        <v>5</v>
      </c>
      <c r="AE36" s="28">
        <f t="shared" si="4"/>
        <v>66</v>
      </c>
      <c r="AF36" s="1"/>
      <c r="AG36" s="1"/>
      <c r="AH36" s="1"/>
      <c r="AI36" s="1"/>
      <c r="AJ36" s="1"/>
      <c r="AK36" s="1"/>
      <c r="AL36" s="1"/>
    </row>
    <row r="37" spans="2:38" ht="19.2" customHeight="1" x14ac:dyDescent="0.3">
      <c r="B37" s="8">
        <v>23</v>
      </c>
      <c r="C37" s="15" t="s">
        <v>61</v>
      </c>
      <c r="D37" s="8"/>
      <c r="E37" s="10"/>
      <c r="F37" s="10"/>
      <c r="G37" s="10"/>
      <c r="H37" s="10"/>
      <c r="I37" s="11"/>
      <c r="J37" s="10">
        <f t="shared" si="0"/>
        <v>0</v>
      </c>
      <c r="K37" s="12"/>
      <c r="L37" s="10"/>
      <c r="M37" s="10"/>
      <c r="N37" s="10"/>
      <c r="O37" s="10">
        <f t="shared" si="1"/>
        <v>0</v>
      </c>
      <c r="P37" s="10"/>
      <c r="Q37" s="13"/>
      <c r="R37" s="16"/>
      <c r="S37" s="8">
        <v>4</v>
      </c>
      <c r="T37" s="10">
        <v>4</v>
      </c>
      <c r="U37" s="10">
        <v>5</v>
      </c>
      <c r="V37" s="10">
        <v>6</v>
      </c>
      <c r="W37" s="11">
        <v>4</v>
      </c>
      <c r="X37" s="26">
        <f t="shared" si="2"/>
        <v>23</v>
      </c>
      <c r="Y37" s="70">
        <v>15</v>
      </c>
      <c r="Z37" s="10">
        <v>8</v>
      </c>
      <c r="AA37" s="10">
        <v>6</v>
      </c>
      <c r="AB37" s="10">
        <v>1</v>
      </c>
      <c r="AC37" s="26">
        <f t="shared" si="3"/>
        <v>15</v>
      </c>
      <c r="AD37" s="25">
        <v>5</v>
      </c>
      <c r="AE37" s="28">
        <f t="shared" si="4"/>
        <v>58</v>
      </c>
      <c r="AF37" s="1"/>
      <c r="AG37" s="1"/>
      <c r="AH37" s="1"/>
      <c r="AI37" s="1"/>
      <c r="AJ37" s="1"/>
      <c r="AK37" s="1"/>
      <c r="AL37" s="1"/>
    </row>
    <row r="38" spans="2:38" ht="19.2" customHeight="1" x14ac:dyDescent="0.3">
      <c r="B38" s="8">
        <v>24</v>
      </c>
      <c r="C38" s="15" t="s">
        <v>62</v>
      </c>
      <c r="D38" s="8"/>
      <c r="E38" s="10"/>
      <c r="F38" s="10"/>
      <c r="G38" s="10"/>
      <c r="H38" s="10"/>
      <c r="I38" s="11"/>
      <c r="J38" s="10">
        <f t="shared" si="0"/>
        <v>0</v>
      </c>
      <c r="K38" s="12"/>
      <c r="L38" s="10"/>
      <c r="M38" s="10"/>
      <c r="N38" s="10"/>
      <c r="O38" s="10">
        <f t="shared" si="1"/>
        <v>0</v>
      </c>
      <c r="P38" s="10"/>
      <c r="Q38" s="13"/>
      <c r="R38" s="16"/>
      <c r="S38" s="8">
        <v>3</v>
      </c>
      <c r="T38" s="10">
        <v>2</v>
      </c>
      <c r="U38" s="10">
        <v>4</v>
      </c>
      <c r="V38" s="10">
        <v>4</v>
      </c>
      <c r="W38" s="11">
        <v>3</v>
      </c>
      <c r="X38" s="26">
        <f t="shared" si="2"/>
        <v>16</v>
      </c>
      <c r="Y38" s="70">
        <v>18</v>
      </c>
      <c r="Z38" s="10">
        <v>5</v>
      </c>
      <c r="AA38" s="10">
        <v>4</v>
      </c>
      <c r="AB38" s="10">
        <v>1</v>
      </c>
      <c r="AC38" s="26">
        <f t="shared" si="3"/>
        <v>10</v>
      </c>
      <c r="AD38" s="69">
        <v>5</v>
      </c>
      <c r="AE38" s="28">
        <f t="shared" si="4"/>
        <v>49</v>
      </c>
      <c r="AF38" s="1"/>
      <c r="AG38" s="1"/>
      <c r="AH38" s="1"/>
      <c r="AI38" s="1"/>
      <c r="AJ38" s="1"/>
      <c r="AK38" s="1"/>
      <c r="AL38" s="1"/>
    </row>
    <row r="39" spans="2:38" ht="19.2" customHeight="1" x14ac:dyDescent="0.3">
      <c r="B39" s="8">
        <v>25</v>
      </c>
      <c r="C39" s="15" t="s">
        <v>63</v>
      </c>
      <c r="D39" s="8"/>
      <c r="E39" s="10"/>
      <c r="F39" s="10"/>
      <c r="G39" s="10"/>
      <c r="H39" s="17"/>
      <c r="I39" s="11"/>
      <c r="J39" s="10">
        <f t="shared" si="0"/>
        <v>0</v>
      </c>
      <c r="K39" s="12"/>
      <c r="L39" s="10"/>
      <c r="M39" s="10"/>
      <c r="N39" s="10"/>
      <c r="O39" s="10">
        <f t="shared" si="1"/>
        <v>0</v>
      </c>
      <c r="P39" s="10"/>
      <c r="Q39" s="13"/>
      <c r="R39" s="16"/>
      <c r="S39" s="8"/>
      <c r="T39" s="10">
        <v>2</v>
      </c>
      <c r="U39" s="10">
        <v>3</v>
      </c>
      <c r="V39" s="10">
        <v>3</v>
      </c>
      <c r="W39" s="11">
        <v>6</v>
      </c>
      <c r="X39" s="26">
        <f t="shared" si="2"/>
        <v>14</v>
      </c>
      <c r="Y39" s="70">
        <v>16</v>
      </c>
      <c r="Z39" s="10">
        <v>7</v>
      </c>
      <c r="AA39" s="10">
        <v>1</v>
      </c>
      <c r="AB39" s="10">
        <v>1</v>
      </c>
      <c r="AC39" s="26">
        <f t="shared" si="3"/>
        <v>9</v>
      </c>
      <c r="AD39" s="25">
        <v>5</v>
      </c>
      <c r="AE39" s="28">
        <f t="shared" si="4"/>
        <v>44</v>
      </c>
      <c r="AF39" s="1"/>
      <c r="AG39" s="1"/>
      <c r="AH39" s="1"/>
      <c r="AI39" s="1"/>
      <c r="AJ39" s="1"/>
      <c r="AK39" s="1"/>
      <c r="AL39" s="1"/>
    </row>
    <row r="40" spans="2:38" ht="19.2" customHeight="1" x14ac:dyDescent="0.3">
      <c r="B40" s="8">
        <v>26</v>
      </c>
      <c r="C40" s="15" t="s">
        <v>64</v>
      </c>
      <c r="D40" s="8"/>
      <c r="E40" s="10"/>
      <c r="F40" s="10"/>
      <c r="G40" s="17"/>
      <c r="H40" s="17"/>
      <c r="I40" s="11"/>
      <c r="J40" s="10">
        <f t="shared" si="0"/>
        <v>0</v>
      </c>
      <c r="K40" s="12"/>
      <c r="L40" s="10"/>
      <c r="M40" s="10"/>
      <c r="N40" s="10"/>
      <c r="O40" s="10">
        <f t="shared" si="1"/>
        <v>0</v>
      </c>
      <c r="P40" s="10"/>
      <c r="Q40" s="13"/>
      <c r="R40" s="16"/>
      <c r="S40" s="8">
        <v>4</v>
      </c>
      <c r="T40" s="10">
        <v>4</v>
      </c>
      <c r="U40" s="10">
        <v>5</v>
      </c>
      <c r="V40" s="10">
        <v>5</v>
      </c>
      <c r="W40" s="11"/>
      <c r="X40" s="26">
        <f t="shared" si="2"/>
        <v>18</v>
      </c>
      <c r="Y40" s="70">
        <v>13</v>
      </c>
      <c r="Z40" s="10">
        <v>5</v>
      </c>
      <c r="AA40" s="10">
        <v>4</v>
      </c>
      <c r="AB40" s="10">
        <v>0</v>
      </c>
      <c r="AC40" s="26">
        <f t="shared" si="3"/>
        <v>9</v>
      </c>
      <c r="AD40" s="69">
        <v>5</v>
      </c>
      <c r="AE40" s="28">
        <f t="shared" si="4"/>
        <v>45</v>
      </c>
      <c r="AF40" s="1"/>
      <c r="AG40" s="1"/>
      <c r="AH40" s="1"/>
      <c r="AI40" s="1"/>
      <c r="AJ40" s="1"/>
      <c r="AK40" s="1"/>
      <c r="AL40" s="1"/>
    </row>
    <row r="41" spans="2:38" ht="19.2" customHeight="1" x14ac:dyDescent="0.3">
      <c r="B41" s="8">
        <v>27</v>
      </c>
      <c r="C41" s="15" t="s">
        <v>65</v>
      </c>
      <c r="D41" s="8"/>
      <c r="E41" s="10"/>
      <c r="F41" s="10"/>
      <c r="G41" s="10"/>
      <c r="H41" s="10"/>
      <c r="I41" s="11"/>
      <c r="J41" s="10">
        <f t="shared" si="0"/>
        <v>0</v>
      </c>
      <c r="K41" s="12"/>
      <c r="L41" s="10"/>
      <c r="M41" s="10"/>
      <c r="N41" s="10"/>
      <c r="O41" s="10">
        <f t="shared" si="1"/>
        <v>0</v>
      </c>
      <c r="P41" s="10"/>
      <c r="Q41" s="13"/>
      <c r="R41" s="16"/>
      <c r="S41" s="8">
        <v>4</v>
      </c>
      <c r="T41" s="10">
        <v>8</v>
      </c>
      <c r="U41" s="10">
        <v>5</v>
      </c>
      <c r="V41" s="10">
        <v>6</v>
      </c>
      <c r="W41" s="11">
        <v>6</v>
      </c>
      <c r="X41" s="26">
        <f t="shared" si="2"/>
        <v>29</v>
      </c>
      <c r="Y41" s="70">
        <v>14</v>
      </c>
      <c r="Z41" s="10">
        <v>5</v>
      </c>
      <c r="AA41" s="10">
        <v>4</v>
      </c>
      <c r="AB41" s="10">
        <v>4</v>
      </c>
      <c r="AC41" s="26">
        <f t="shared" si="3"/>
        <v>13</v>
      </c>
      <c r="AD41" s="25">
        <v>5</v>
      </c>
      <c r="AE41" s="28">
        <f t="shared" si="4"/>
        <v>61</v>
      </c>
      <c r="AF41" s="1"/>
      <c r="AG41" s="1"/>
      <c r="AH41" s="1"/>
      <c r="AI41" s="1"/>
      <c r="AJ41" s="1"/>
      <c r="AK41" s="1"/>
      <c r="AL41" s="1"/>
    </row>
    <row r="42" spans="2:38" ht="19.2" customHeight="1" x14ac:dyDescent="0.3">
      <c r="B42" s="8">
        <v>28</v>
      </c>
      <c r="C42" s="15" t="s">
        <v>66</v>
      </c>
      <c r="D42" s="8"/>
      <c r="E42" s="10"/>
      <c r="F42" s="10"/>
      <c r="G42" s="10"/>
      <c r="H42" s="10"/>
      <c r="I42" s="11"/>
      <c r="J42" s="10">
        <f t="shared" si="0"/>
        <v>0</v>
      </c>
      <c r="K42" s="12"/>
      <c r="L42" s="10"/>
      <c r="M42" s="10"/>
      <c r="N42" s="10"/>
      <c r="O42" s="10">
        <f t="shared" si="1"/>
        <v>0</v>
      </c>
      <c r="P42" s="10"/>
      <c r="Q42" s="13"/>
      <c r="R42" s="16"/>
      <c r="S42" s="8">
        <v>4</v>
      </c>
      <c r="T42" s="10">
        <v>2</v>
      </c>
      <c r="U42" s="10">
        <v>5</v>
      </c>
      <c r="V42" s="10">
        <v>5</v>
      </c>
      <c r="W42" s="11">
        <v>5</v>
      </c>
      <c r="X42" s="26">
        <f t="shared" si="2"/>
        <v>21</v>
      </c>
      <c r="Y42" s="70">
        <v>11</v>
      </c>
      <c r="Z42" s="10">
        <v>8</v>
      </c>
      <c r="AA42" s="10">
        <v>7</v>
      </c>
      <c r="AB42" s="10">
        <v>2</v>
      </c>
      <c r="AC42" s="26">
        <f t="shared" si="3"/>
        <v>17</v>
      </c>
      <c r="AD42" s="69">
        <v>5</v>
      </c>
      <c r="AE42" s="28">
        <f t="shared" si="4"/>
        <v>54</v>
      </c>
      <c r="AF42" s="1"/>
      <c r="AG42" s="1"/>
      <c r="AH42" s="1"/>
      <c r="AI42" s="1"/>
      <c r="AJ42" s="1"/>
      <c r="AK42" s="1"/>
      <c r="AL42" s="1"/>
    </row>
    <row r="43" spans="2:38" ht="19.2" customHeight="1" x14ac:dyDescent="0.3">
      <c r="B43" s="8">
        <v>29</v>
      </c>
      <c r="C43" s="15" t="s">
        <v>67</v>
      </c>
      <c r="D43" s="8"/>
      <c r="E43" s="10"/>
      <c r="F43" s="10"/>
      <c r="G43" s="10"/>
      <c r="H43" s="10"/>
      <c r="I43" s="11"/>
      <c r="J43" s="10">
        <f t="shared" si="0"/>
        <v>0</v>
      </c>
      <c r="K43" s="12"/>
      <c r="L43" s="10"/>
      <c r="M43" s="10"/>
      <c r="N43" s="10"/>
      <c r="O43" s="10">
        <f t="shared" si="1"/>
        <v>0</v>
      </c>
      <c r="P43" s="10"/>
      <c r="Q43" s="13"/>
      <c r="R43" s="16"/>
      <c r="S43" s="8">
        <v>4</v>
      </c>
      <c r="T43" s="10">
        <v>7</v>
      </c>
      <c r="U43" s="10">
        <v>5</v>
      </c>
      <c r="V43" s="10">
        <v>6</v>
      </c>
      <c r="W43" s="11">
        <v>6</v>
      </c>
      <c r="X43" s="26">
        <f t="shared" si="2"/>
        <v>28</v>
      </c>
      <c r="Y43" s="70">
        <v>12</v>
      </c>
      <c r="Z43" s="10">
        <v>6</v>
      </c>
      <c r="AA43" s="10">
        <v>8</v>
      </c>
      <c r="AB43" s="10">
        <v>4</v>
      </c>
      <c r="AC43" s="26">
        <f t="shared" si="3"/>
        <v>18</v>
      </c>
      <c r="AD43" s="25">
        <v>5</v>
      </c>
      <c r="AE43" s="28">
        <f t="shared" si="4"/>
        <v>63</v>
      </c>
      <c r="AF43" s="1"/>
      <c r="AG43" s="1"/>
      <c r="AH43" s="1"/>
      <c r="AI43" s="1"/>
      <c r="AJ43" s="1"/>
      <c r="AK43" s="1"/>
      <c r="AL43" s="1"/>
    </row>
    <row r="44" spans="2:38" ht="19.2" customHeight="1" x14ac:dyDescent="0.3">
      <c r="B44" s="8">
        <v>30</v>
      </c>
      <c r="C44" s="15" t="s">
        <v>68</v>
      </c>
      <c r="D44" s="8"/>
      <c r="E44" s="10"/>
      <c r="F44" s="10"/>
      <c r="G44" s="10"/>
      <c r="H44" s="10"/>
      <c r="I44" s="11"/>
      <c r="J44" s="10">
        <f t="shared" si="0"/>
        <v>0</v>
      </c>
      <c r="K44" s="12"/>
      <c r="L44" s="10"/>
      <c r="M44" s="10"/>
      <c r="N44" s="10"/>
      <c r="O44" s="10">
        <f t="shared" si="1"/>
        <v>0</v>
      </c>
      <c r="P44" s="10"/>
      <c r="Q44" s="13"/>
      <c r="R44" s="16"/>
      <c r="S44" s="8">
        <v>4</v>
      </c>
      <c r="T44" s="10">
        <v>7</v>
      </c>
      <c r="U44" s="10">
        <v>6</v>
      </c>
      <c r="V44" s="10">
        <v>5</v>
      </c>
      <c r="W44" s="11">
        <v>6</v>
      </c>
      <c r="X44" s="26">
        <f t="shared" si="2"/>
        <v>28</v>
      </c>
      <c r="Y44" s="70">
        <v>9</v>
      </c>
      <c r="Z44" s="10">
        <v>6</v>
      </c>
      <c r="AA44" s="10">
        <v>7</v>
      </c>
      <c r="AB44" s="10">
        <v>2</v>
      </c>
      <c r="AC44" s="26">
        <f t="shared" si="3"/>
        <v>15</v>
      </c>
      <c r="AD44" s="69">
        <v>5</v>
      </c>
      <c r="AE44" s="28">
        <f t="shared" si="4"/>
        <v>57</v>
      </c>
      <c r="AF44" s="1"/>
      <c r="AG44" s="1"/>
      <c r="AH44" s="1"/>
      <c r="AI44" s="1"/>
      <c r="AJ44" s="1"/>
      <c r="AK44" s="1"/>
      <c r="AL44" s="1"/>
    </row>
    <row r="45" spans="2:38" ht="19.2" customHeight="1" x14ac:dyDescent="0.3">
      <c r="B45" s="8">
        <v>31</v>
      </c>
      <c r="C45" s="15" t="s">
        <v>69</v>
      </c>
      <c r="D45" s="8"/>
      <c r="E45" s="10"/>
      <c r="F45" s="10"/>
      <c r="G45" s="17"/>
      <c r="H45" s="17"/>
      <c r="I45" s="11"/>
      <c r="J45" s="10">
        <f t="shared" si="0"/>
        <v>0</v>
      </c>
      <c r="K45" s="12"/>
      <c r="L45" s="10"/>
      <c r="M45" s="10"/>
      <c r="N45" s="10"/>
      <c r="O45" s="10">
        <f t="shared" si="1"/>
        <v>0</v>
      </c>
      <c r="P45" s="10"/>
      <c r="Q45" s="13"/>
      <c r="R45" s="16"/>
      <c r="S45" s="8">
        <v>4</v>
      </c>
      <c r="T45" s="10">
        <v>3</v>
      </c>
      <c r="U45" s="10">
        <v>5</v>
      </c>
      <c r="V45" s="10">
        <v>5</v>
      </c>
      <c r="W45" s="11">
        <v>6</v>
      </c>
      <c r="X45" s="26">
        <f t="shared" si="2"/>
        <v>23</v>
      </c>
      <c r="Y45" s="70">
        <v>17</v>
      </c>
      <c r="Z45" s="10">
        <v>8</v>
      </c>
      <c r="AA45" s="10">
        <v>7</v>
      </c>
      <c r="AB45" s="10">
        <v>1</v>
      </c>
      <c r="AC45" s="26">
        <f t="shared" si="3"/>
        <v>16</v>
      </c>
      <c r="AD45" s="25">
        <v>5</v>
      </c>
      <c r="AE45" s="28">
        <f t="shared" si="4"/>
        <v>61</v>
      </c>
      <c r="AF45" s="1"/>
      <c r="AG45" s="1"/>
      <c r="AH45" s="1"/>
      <c r="AI45" s="1"/>
      <c r="AJ45" s="1"/>
      <c r="AK45" s="1"/>
      <c r="AL45" s="1"/>
    </row>
    <row r="46" spans="2:38" ht="19.2" customHeight="1" x14ac:dyDescent="0.3">
      <c r="B46" s="8">
        <v>32</v>
      </c>
      <c r="C46" s="15" t="s">
        <v>70</v>
      </c>
      <c r="D46" s="8"/>
      <c r="E46" s="10"/>
      <c r="F46" s="10"/>
      <c r="G46" s="10"/>
      <c r="H46" s="10"/>
      <c r="I46" s="11"/>
      <c r="J46" s="10">
        <f t="shared" si="0"/>
        <v>0</v>
      </c>
      <c r="K46" s="12"/>
      <c r="L46" s="10"/>
      <c r="M46" s="10"/>
      <c r="N46" s="10"/>
      <c r="O46" s="10">
        <f t="shared" si="1"/>
        <v>0</v>
      </c>
      <c r="P46" s="10"/>
      <c r="Q46" s="13"/>
      <c r="R46" s="16"/>
      <c r="S46" s="8">
        <v>4</v>
      </c>
      <c r="T46" s="10">
        <v>7</v>
      </c>
      <c r="U46" s="10">
        <v>6</v>
      </c>
      <c r="V46" s="10">
        <v>6</v>
      </c>
      <c r="W46" s="11">
        <v>6</v>
      </c>
      <c r="X46" s="26">
        <f t="shared" si="2"/>
        <v>29</v>
      </c>
      <c r="Y46" s="70">
        <v>12</v>
      </c>
      <c r="Z46" s="10">
        <v>8</v>
      </c>
      <c r="AA46" s="10">
        <v>7</v>
      </c>
      <c r="AB46" s="10">
        <v>3</v>
      </c>
      <c r="AC46" s="26">
        <f t="shared" si="3"/>
        <v>18</v>
      </c>
      <c r="AD46" s="69">
        <v>5</v>
      </c>
      <c r="AE46" s="28">
        <f t="shared" si="4"/>
        <v>64</v>
      </c>
      <c r="AF46" s="1"/>
      <c r="AG46" s="1"/>
      <c r="AH46" s="1"/>
      <c r="AI46" s="1"/>
      <c r="AJ46" s="1"/>
      <c r="AK46" s="1"/>
      <c r="AL46" s="1"/>
    </row>
    <row r="47" spans="2:38" ht="19.2" customHeight="1" x14ac:dyDescent="0.3">
      <c r="B47" s="8">
        <v>33</v>
      </c>
      <c r="C47" s="15" t="s">
        <v>71</v>
      </c>
      <c r="D47" s="8"/>
      <c r="E47" s="10"/>
      <c r="F47" s="17"/>
      <c r="G47" s="17"/>
      <c r="H47" s="10"/>
      <c r="I47" s="11"/>
      <c r="J47" s="10">
        <f t="shared" si="0"/>
        <v>0</v>
      </c>
      <c r="K47" s="12"/>
      <c r="L47" s="10"/>
      <c r="M47" s="10"/>
      <c r="N47" s="10"/>
      <c r="O47" s="10">
        <f t="shared" si="1"/>
        <v>0</v>
      </c>
      <c r="P47" s="10"/>
      <c r="Q47" s="13"/>
      <c r="R47" s="16"/>
      <c r="S47" s="8">
        <v>4</v>
      </c>
      <c r="T47" s="10">
        <v>8</v>
      </c>
      <c r="U47" s="10">
        <v>6</v>
      </c>
      <c r="V47" s="10">
        <v>5</v>
      </c>
      <c r="W47" s="11">
        <v>6</v>
      </c>
      <c r="X47" s="26">
        <f t="shared" si="2"/>
        <v>29</v>
      </c>
      <c r="Y47" s="70">
        <v>15</v>
      </c>
      <c r="Z47" s="10">
        <v>7</v>
      </c>
      <c r="AA47" s="10">
        <v>7</v>
      </c>
      <c r="AB47" s="10">
        <v>1</v>
      </c>
      <c r="AC47" s="26">
        <f t="shared" si="3"/>
        <v>15</v>
      </c>
      <c r="AD47" s="25">
        <v>5</v>
      </c>
      <c r="AE47" s="28">
        <f t="shared" si="4"/>
        <v>64</v>
      </c>
      <c r="AF47" s="1"/>
      <c r="AG47" s="1"/>
      <c r="AH47" s="1"/>
      <c r="AI47" s="1"/>
      <c r="AJ47" s="1"/>
      <c r="AK47" s="1"/>
      <c r="AL47" s="1"/>
    </row>
    <row r="48" spans="2:38" ht="19.2" customHeight="1" x14ac:dyDescent="0.3">
      <c r="B48" s="8">
        <v>34</v>
      </c>
      <c r="C48" s="15" t="s">
        <v>72</v>
      </c>
      <c r="D48" s="8"/>
      <c r="E48" s="10"/>
      <c r="F48" s="10"/>
      <c r="G48" s="10"/>
      <c r="H48" s="10"/>
      <c r="I48" s="11"/>
      <c r="J48" s="10">
        <f t="shared" si="0"/>
        <v>0</v>
      </c>
      <c r="K48" s="12"/>
      <c r="L48" s="10"/>
      <c r="M48" s="10"/>
      <c r="N48" s="10"/>
      <c r="O48" s="10">
        <f t="shared" si="1"/>
        <v>0</v>
      </c>
      <c r="P48" s="10"/>
      <c r="Q48" s="13"/>
      <c r="R48" s="16"/>
      <c r="S48" s="8">
        <v>4</v>
      </c>
      <c r="T48" s="10">
        <v>2</v>
      </c>
      <c r="U48" s="10">
        <v>2</v>
      </c>
      <c r="V48" s="10">
        <v>5</v>
      </c>
      <c r="W48" s="11">
        <v>6</v>
      </c>
      <c r="X48" s="26">
        <f t="shared" si="2"/>
        <v>19</v>
      </c>
      <c r="Y48" s="70">
        <v>13</v>
      </c>
      <c r="Z48" s="10">
        <v>6</v>
      </c>
      <c r="AA48" s="10">
        <v>1</v>
      </c>
      <c r="AB48" s="10">
        <v>2</v>
      </c>
      <c r="AC48" s="26">
        <f t="shared" si="3"/>
        <v>9</v>
      </c>
      <c r="AD48" s="69">
        <v>5</v>
      </c>
      <c r="AE48" s="28">
        <f t="shared" si="4"/>
        <v>46</v>
      </c>
      <c r="AF48" s="1"/>
      <c r="AG48" s="1"/>
      <c r="AH48" s="1"/>
      <c r="AI48" s="1"/>
      <c r="AJ48" s="1"/>
      <c r="AK48" s="1"/>
      <c r="AL48" s="1"/>
    </row>
    <row r="49" spans="2:38" ht="19.2" customHeight="1" x14ac:dyDescent="0.3">
      <c r="B49" s="8">
        <v>35</v>
      </c>
      <c r="C49" s="15" t="s">
        <v>73</v>
      </c>
      <c r="D49" s="8"/>
      <c r="E49" s="10"/>
      <c r="F49" s="10"/>
      <c r="G49" s="10"/>
      <c r="H49" s="10"/>
      <c r="I49" s="11"/>
      <c r="J49" s="10">
        <f t="shared" si="0"/>
        <v>0</v>
      </c>
      <c r="K49" s="12"/>
      <c r="L49" s="10"/>
      <c r="M49" s="10"/>
      <c r="N49" s="10"/>
      <c r="O49" s="10">
        <f t="shared" si="1"/>
        <v>0</v>
      </c>
      <c r="P49" s="10"/>
      <c r="Q49" s="13"/>
      <c r="R49" s="16"/>
      <c r="S49" s="8">
        <v>4</v>
      </c>
      <c r="T49" s="10">
        <v>4</v>
      </c>
      <c r="U49" s="10">
        <v>4</v>
      </c>
      <c r="V49" s="10">
        <v>6</v>
      </c>
      <c r="W49" s="11">
        <v>6</v>
      </c>
      <c r="X49" s="26">
        <f t="shared" si="2"/>
        <v>24</v>
      </c>
      <c r="Y49" s="70">
        <v>7</v>
      </c>
      <c r="Z49" s="10">
        <v>6</v>
      </c>
      <c r="AA49" s="10">
        <v>2</v>
      </c>
      <c r="AB49" s="10">
        <v>1</v>
      </c>
      <c r="AC49" s="26">
        <f t="shared" si="3"/>
        <v>9</v>
      </c>
      <c r="AD49" s="25">
        <v>5</v>
      </c>
      <c r="AE49" s="28">
        <f t="shared" si="4"/>
        <v>45</v>
      </c>
      <c r="AF49" s="1"/>
      <c r="AG49" s="1"/>
      <c r="AH49" s="1"/>
      <c r="AI49" s="1"/>
      <c r="AJ49" s="1"/>
      <c r="AK49" s="1"/>
      <c r="AL49" s="1"/>
    </row>
    <row r="50" spans="2:38" ht="19.2" customHeight="1" x14ac:dyDescent="0.3">
      <c r="B50" s="8">
        <v>36</v>
      </c>
      <c r="C50" s="15" t="s">
        <v>74</v>
      </c>
      <c r="D50" s="8"/>
      <c r="E50" s="10"/>
      <c r="F50" s="10"/>
      <c r="G50" s="10"/>
      <c r="H50" s="17"/>
      <c r="I50" s="11"/>
      <c r="J50" s="10">
        <f t="shared" si="0"/>
        <v>0</v>
      </c>
      <c r="K50" s="12"/>
      <c r="L50" s="10"/>
      <c r="M50" s="10"/>
      <c r="N50" s="10"/>
      <c r="O50" s="10">
        <f t="shared" si="1"/>
        <v>0</v>
      </c>
      <c r="P50" s="10"/>
      <c r="Q50" s="13"/>
      <c r="R50" s="16"/>
      <c r="S50" s="8">
        <v>4</v>
      </c>
      <c r="T50" s="10">
        <v>7</v>
      </c>
      <c r="U50" s="10">
        <v>6</v>
      </c>
      <c r="V50" s="10">
        <v>6</v>
      </c>
      <c r="W50" s="11">
        <v>6</v>
      </c>
      <c r="X50" s="26">
        <f t="shared" si="2"/>
        <v>29</v>
      </c>
      <c r="Y50" s="70">
        <v>15</v>
      </c>
      <c r="Z50" s="10">
        <v>7</v>
      </c>
      <c r="AA50" s="10">
        <v>6</v>
      </c>
      <c r="AB50" s="10">
        <v>1</v>
      </c>
      <c r="AC50" s="26">
        <f t="shared" si="3"/>
        <v>14</v>
      </c>
      <c r="AD50" s="69">
        <v>5</v>
      </c>
      <c r="AE50" s="28">
        <f t="shared" si="4"/>
        <v>63</v>
      </c>
      <c r="AF50" s="1"/>
      <c r="AG50" s="1"/>
      <c r="AH50" s="1"/>
      <c r="AI50" s="1"/>
      <c r="AJ50" s="1"/>
      <c r="AK50" s="1"/>
      <c r="AL50" s="1"/>
    </row>
    <row r="51" spans="2:38" ht="19.2" customHeight="1" x14ac:dyDescent="0.3">
      <c r="B51" s="8">
        <v>37</v>
      </c>
      <c r="C51" s="15" t="s">
        <v>75</v>
      </c>
      <c r="D51" s="8"/>
      <c r="E51" s="10"/>
      <c r="F51" s="10"/>
      <c r="G51" s="10"/>
      <c r="H51" s="10"/>
      <c r="I51" s="11"/>
      <c r="J51" s="10">
        <f t="shared" si="0"/>
        <v>0</v>
      </c>
      <c r="K51" s="12"/>
      <c r="L51" s="10"/>
      <c r="M51" s="10"/>
      <c r="N51" s="10"/>
      <c r="O51" s="10">
        <f t="shared" si="1"/>
        <v>0</v>
      </c>
      <c r="P51" s="10"/>
      <c r="Q51" s="13"/>
      <c r="R51" s="16"/>
      <c r="S51" s="8">
        <v>2</v>
      </c>
      <c r="T51" s="10">
        <v>5</v>
      </c>
      <c r="U51" s="10">
        <v>4</v>
      </c>
      <c r="V51" s="10">
        <v>6</v>
      </c>
      <c r="W51" s="11">
        <v>6</v>
      </c>
      <c r="X51" s="26">
        <f t="shared" si="2"/>
        <v>23</v>
      </c>
      <c r="Y51" s="70">
        <v>19</v>
      </c>
      <c r="Z51" s="10">
        <v>6</v>
      </c>
      <c r="AA51" s="10">
        <v>7</v>
      </c>
      <c r="AB51" s="10">
        <v>4</v>
      </c>
      <c r="AC51" s="26">
        <f t="shared" si="3"/>
        <v>17</v>
      </c>
      <c r="AD51" s="25">
        <v>5</v>
      </c>
      <c r="AE51" s="28">
        <f t="shared" si="4"/>
        <v>64</v>
      </c>
      <c r="AF51" s="1"/>
      <c r="AG51" s="1"/>
      <c r="AH51" s="1"/>
      <c r="AI51" s="1"/>
      <c r="AJ51" s="1"/>
      <c r="AK51" s="1"/>
      <c r="AL51" s="1"/>
    </row>
    <row r="52" spans="2:38" ht="19.2" customHeight="1" x14ac:dyDescent="0.3">
      <c r="B52" s="8">
        <v>38</v>
      </c>
      <c r="C52" s="15" t="s">
        <v>76</v>
      </c>
      <c r="D52" s="8"/>
      <c r="E52" s="10"/>
      <c r="F52" s="10"/>
      <c r="G52" s="10"/>
      <c r="H52" s="10"/>
      <c r="I52" s="11"/>
      <c r="J52" s="10">
        <f t="shared" si="0"/>
        <v>0</v>
      </c>
      <c r="K52" s="12"/>
      <c r="L52" s="10"/>
      <c r="M52" s="10"/>
      <c r="N52" s="10"/>
      <c r="O52" s="10">
        <f t="shared" si="1"/>
        <v>0</v>
      </c>
      <c r="P52" s="10"/>
      <c r="Q52" s="13"/>
      <c r="R52" s="16"/>
      <c r="S52" s="8">
        <v>1</v>
      </c>
      <c r="T52" s="10">
        <v>7</v>
      </c>
      <c r="U52" s="10">
        <v>6</v>
      </c>
      <c r="V52" s="10">
        <v>6</v>
      </c>
      <c r="W52" s="11">
        <v>6</v>
      </c>
      <c r="X52" s="26">
        <f t="shared" si="2"/>
        <v>26</v>
      </c>
      <c r="Y52" s="70">
        <v>7</v>
      </c>
      <c r="Z52" s="10">
        <v>6</v>
      </c>
      <c r="AA52" s="10">
        <v>6</v>
      </c>
      <c r="AB52" s="10">
        <v>1</v>
      </c>
      <c r="AC52" s="26">
        <f t="shared" si="3"/>
        <v>13</v>
      </c>
      <c r="AD52" s="69">
        <v>5</v>
      </c>
      <c r="AE52" s="28">
        <f t="shared" si="4"/>
        <v>51</v>
      </c>
      <c r="AF52" s="1"/>
      <c r="AG52" s="1"/>
      <c r="AH52" s="1"/>
      <c r="AI52" s="1"/>
      <c r="AJ52" s="1"/>
      <c r="AK52" s="1"/>
      <c r="AL52" s="1"/>
    </row>
    <row r="53" spans="2:38" ht="19.2" customHeight="1" x14ac:dyDescent="0.3">
      <c r="B53" s="8">
        <v>39</v>
      </c>
      <c r="C53" s="15" t="s">
        <v>77</v>
      </c>
      <c r="D53" s="8"/>
      <c r="E53" s="10"/>
      <c r="F53" s="10"/>
      <c r="G53" s="10"/>
      <c r="H53" s="10"/>
      <c r="I53" s="11"/>
      <c r="J53" s="10">
        <f t="shared" si="0"/>
        <v>0</v>
      </c>
      <c r="K53" s="12"/>
      <c r="L53" s="10"/>
      <c r="M53" s="10"/>
      <c r="N53" s="10"/>
      <c r="O53" s="10">
        <f t="shared" si="1"/>
        <v>0</v>
      </c>
      <c r="P53" s="10"/>
      <c r="Q53" s="13"/>
      <c r="R53" s="16"/>
      <c r="S53" s="8">
        <v>4</v>
      </c>
      <c r="T53" s="10">
        <v>6</v>
      </c>
      <c r="U53" s="10">
        <v>6</v>
      </c>
      <c r="V53" s="10">
        <v>6</v>
      </c>
      <c r="W53" s="11">
        <v>6</v>
      </c>
      <c r="X53" s="26">
        <f t="shared" si="2"/>
        <v>28</v>
      </c>
      <c r="Y53" s="70">
        <v>19</v>
      </c>
      <c r="Z53" s="10">
        <v>5</v>
      </c>
      <c r="AA53" s="10">
        <v>6</v>
      </c>
      <c r="AB53" s="10">
        <v>1</v>
      </c>
      <c r="AC53" s="26">
        <f t="shared" si="3"/>
        <v>12</v>
      </c>
      <c r="AD53" s="25">
        <v>5</v>
      </c>
      <c r="AE53" s="28">
        <f t="shared" si="4"/>
        <v>64</v>
      </c>
      <c r="AF53" s="1"/>
      <c r="AG53" s="1"/>
      <c r="AH53" s="1"/>
      <c r="AI53" s="1"/>
      <c r="AJ53" s="1"/>
      <c r="AK53" s="1"/>
      <c r="AL53" s="1"/>
    </row>
    <row r="54" spans="2:38" ht="19.2" customHeight="1" x14ac:dyDescent="0.3">
      <c r="B54" s="8">
        <v>40</v>
      </c>
      <c r="C54" s="15" t="s">
        <v>78</v>
      </c>
      <c r="D54" s="8"/>
      <c r="E54" s="10"/>
      <c r="F54" s="10"/>
      <c r="G54" s="10"/>
      <c r="H54" s="10"/>
      <c r="I54" s="11"/>
      <c r="J54" s="10">
        <f t="shared" si="0"/>
        <v>0</v>
      </c>
      <c r="K54" s="12"/>
      <c r="L54" s="10"/>
      <c r="M54" s="10"/>
      <c r="N54" s="10"/>
      <c r="O54" s="10">
        <f t="shared" si="1"/>
        <v>0</v>
      </c>
      <c r="P54" s="10"/>
      <c r="Q54" s="13"/>
      <c r="R54" s="16"/>
      <c r="S54" s="8">
        <v>4</v>
      </c>
      <c r="T54" s="10">
        <v>5</v>
      </c>
      <c r="U54" s="10">
        <v>6</v>
      </c>
      <c r="V54" s="10">
        <v>5</v>
      </c>
      <c r="W54" s="11">
        <v>6</v>
      </c>
      <c r="X54" s="26">
        <f t="shared" si="2"/>
        <v>26</v>
      </c>
      <c r="Y54" s="70">
        <v>16</v>
      </c>
      <c r="Z54" s="10">
        <v>8</v>
      </c>
      <c r="AA54" s="10">
        <v>8</v>
      </c>
      <c r="AB54" s="10">
        <v>4</v>
      </c>
      <c r="AC54" s="26">
        <f t="shared" si="3"/>
        <v>20</v>
      </c>
      <c r="AD54" s="69">
        <v>5</v>
      </c>
      <c r="AE54" s="28">
        <f t="shared" si="4"/>
        <v>67</v>
      </c>
      <c r="AF54" s="1"/>
      <c r="AG54" s="1"/>
      <c r="AH54" s="1"/>
      <c r="AI54" s="1"/>
      <c r="AJ54" s="1"/>
      <c r="AK54" s="1"/>
      <c r="AL54" s="1"/>
    </row>
    <row r="55" spans="2:38" ht="19.2" customHeight="1" x14ac:dyDescent="0.3">
      <c r="B55" s="8">
        <v>41</v>
      </c>
      <c r="C55" s="15" t="s">
        <v>79</v>
      </c>
      <c r="D55" s="8"/>
      <c r="E55" s="10"/>
      <c r="F55" s="10"/>
      <c r="G55" s="10"/>
      <c r="H55" s="10"/>
      <c r="I55" s="11"/>
      <c r="J55" s="10">
        <f t="shared" si="0"/>
        <v>0</v>
      </c>
      <c r="K55" s="12"/>
      <c r="L55" s="10"/>
      <c r="M55" s="10"/>
      <c r="N55" s="10"/>
      <c r="O55" s="10">
        <f t="shared" si="1"/>
        <v>0</v>
      </c>
      <c r="P55" s="10"/>
      <c r="Q55" s="13"/>
      <c r="R55" s="16"/>
      <c r="S55" s="8">
        <v>4</v>
      </c>
      <c r="T55" s="10">
        <v>8</v>
      </c>
      <c r="U55" s="10">
        <v>6</v>
      </c>
      <c r="V55" s="10">
        <v>5</v>
      </c>
      <c r="W55" s="11">
        <v>6</v>
      </c>
      <c r="X55" s="26">
        <f t="shared" si="2"/>
        <v>29</v>
      </c>
      <c r="Y55" s="70">
        <v>15</v>
      </c>
      <c r="Z55" s="10">
        <v>8</v>
      </c>
      <c r="AA55" s="10">
        <v>8</v>
      </c>
      <c r="AB55" s="10">
        <v>4</v>
      </c>
      <c r="AC55" s="26">
        <f t="shared" si="3"/>
        <v>20</v>
      </c>
      <c r="AD55" s="25">
        <v>5</v>
      </c>
      <c r="AE55" s="28">
        <f t="shared" si="4"/>
        <v>69</v>
      </c>
      <c r="AF55" s="1"/>
      <c r="AG55" s="1"/>
      <c r="AH55" s="1"/>
      <c r="AI55" s="1"/>
      <c r="AJ55" s="1"/>
      <c r="AK55" s="1"/>
      <c r="AL55" s="1"/>
    </row>
    <row r="56" spans="2:38" ht="19.2" customHeight="1" x14ac:dyDescent="0.3">
      <c r="B56" s="8">
        <v>42</v>
      </c>
      <c r="C56" s="15" t="s">
        <v>80</v>
      </c>
      <c r="D56" s="8"/>
      <c r="E56" s="10"/>
      <c r="F56" s="10"/>
      <c r="G56" s="10"/>
      <c r="H56" s="10"/>
      <c r="I56" s="11"/>
      <c r="J56" s="10">
        <f t="shared" si="0"/>
        <v>0</v>
      </c>
      <c r="K56" s="12"/>
      <c r="L56" s="10"/>
      <c r="M56" s="10"/>
      <c r="N56" s="10"/>
      <c r="O56" s="10">
        <f t="shared" si="1"/>
        <v>0</v>
      </c>
      <c r="P56" s="10"/>
      <c r="Q56" s="13"/>
      <c r="R56" s="16"/>
      <c r="S56" s="8">
        <v>4</v>
      </c>
      <c r="T56" s="10">
        <v>8</v>
      </c>
      <c r="U56" s="10">
        <v>6</v>
      </c>
      <c r="V56" s="10">
        <v>6</v>
      </c>
      <c r="W56" s="11">
        <v>6</v>
      </c>
      <c r="X56" s="26">
        <f t="shared" si="2"/>
        <v>30</v>
      </c>
      <c r="Y56" s="70">
        <v>17</v>
      </c>
      <c r="Z56" s="10">
        <v>8</v>
      </c>
      <c r="AA56" s="10">
        <v>8</v>
      </c>
      <c r="AB56" s="10">
        <v>4</v>
      </c>
      <c r="AC56" s="26">
        <f t="shared" si="3"/>
        <v>20</v>
      </c>
      <c r="AD56" s="69">
        <v>5</v>
      </c>
      <c r="AE56" s="28">
        <f t="shared" si="4"/>
        <v>72</v>
      </c>
      <c r="AF56" s="1"/>
      <c r="AG56" s="1"/>
      <c r="AH56" s="1"/>
      <c r="AI56" s="1"/>
      <c r="AJ56" s="1"/>
      <c r="AK56" s="1"/>
      <c r="AL56" s="1"/>
    </row>
    <row r="57" spans="2:38" ht="19.2" customHeight="1" x14ac:dyDescent="0.3">
      <c r="B57" s="8">
        <v>43</v>
      </c>
      <c r="C57" s="15" t="s">
        <v>81</v>
      </c>
      <c r="D57" s="8"/>
      <c r="E57" s="10"/>
      <c r="F57" s="10"/>
      <c r="G57" s="10"/>
      <c r="H57" s="10"/>
      <c r="I57" s="11"/>
      <c r="J57" s="10">
        <f t="shared" si="0"/>
        <v>0</v>
      </c>
      <c r="K57" s="12"/>
      <c r="L57" s="10"/>
      <c r="M57" s="10"/>
      <c r="N57" s="10"/>
      <c r="O57" s="10">
        <f t="shared" si="1"/>
        <v>0</v>
      </c>
      <c r="P57" s="10"/>
      <c r="Q57" s="13"/>
      <c r="R57" s="16"/>
      <c r="S57" s="8">
        <v>2</v>
      </c>
      <c r="T57" s="10">
        <v>3</v>
      </c>
      <c r="U57" s="10">
        <v>5</v>
      </c>
      <c r="V57" s="10">
        <v>6</v>
      </c>
      <c r="W57" s="11">
        <v>2</v>
      </c>
      <c r="X57" s="26">
        <f t="shared" si="2"/>
        <v>18</v>
      </c>
      <c r="Y57" s="70">
        <v>17</v>
      </c>
      <c r="Z57" s="10">
        <v>7</v>
      </c>
      <c r="AA57" s="10">
        <v>3</v>
      </c>
      <c r="AB57" s="10">
        <v>1</v>
      </c>
      <c r="AC57" s="26">
        <f t="shared" si="3"/>
        <v>11</v>
      </c>
      <c r="AD57" s="25">
        <v>5</v>
      </c>
      <c r="AE57" s="28">
        <f t="shared" si="4"/>
        <v>51</v>
      </c>
      <c r="AF57" s="1"/>
      <c r="AG57" s="1"/>
      <c r="AH57" s="1"/>
      <c r="AI57" s="1"/>
      <c r="AJ57" s="1"/>
      <c r="AK57" s="1"/>
      <c r="AL57" s="1"/>
    </row>
    <row r="58" spans="2:38" ht="19.2" customHeight="1" x14ac:dyDescent="0.3">
      <c r="B58" s="8">
        <v>44</v>
      </c>
      <c r="C58" s="15" t="s">
        <v>82</v>
      </c>
      <c r="D58" s="8"/>
      <c r="E58" s="10"/>
      <c r="F58" s="10"/>
      <c r="G58" s="17"/>
      <c r="H58" s="10"/>
      <c r="I58" s="11"/>
      <c r="J58" s="10">
        <f t="shared" si="0"/>
        <v>0</v>
      </c>
      <c r="K58" s="12"/>
      <c r="L58" s="10"/>
      <c r="M58" s="10"/>
      <c r="N58" s="10"/>
      <c r="O58" s="10">
        <f t="shared" si="1"/>
        <v>0</v>
      </c>
      <c r="P58" s="10"/>
      <c r="Q58" s="13"/>
      <c r="R58" s="16"/>
      <c r="S58" s="8">
        <v>2</v>
      </c>
      <c r="T58" s="10">
        <v>2</v>
      </c>
      <c r="U58" s="10">
        <v>2</v>
      </c>
      <c r="V58" s="10">
        <v>3</v>
      </c>
      <c r="W58" s="11">
        <v>6</v>
      </c>
      <c r="X58" s="26">
        <f t="shared" si="2"/>
        <v>15</v>
      </c>
      <c r="Y58" s="70">
        <v>15</v>
      </c>
      <c r="Z58" s="10">
        <v>6</v>
      </c>
      <c r="AA58" s="10">
        <v>1</v>
      </c>
      <c r="AB58" s="10">
        <v>0</v>
      </c>
      <c r="AC58" s="26">
        <f t="shared" si="3"/>
        <v>7</v>
      </c>
      <c r="AD58" s="69">
        <v>5</v>
      </c>
      <c r="AE58" s="28">
        <f t="shared" si="4"/>
        <v>42</v>
      </c>
      <c r="AF58" s="1"/>
      <c r="AG58" s="1"/>
      <c r="AH58" s="1"/>
      <c r="AI58" s="1"/>
      <c r="AJ58" s="1"/>
      <c r="AK58" s="1"/>
      <c r="AL58" s="1"/>
    </row>
    <row r="59" spans="2:38" ht="19.2" customHeight="1" x14ac:dyDescent="0.3">
      <c r="B59" s="8">
        <v>45</v>
      </c>
      <c r="C59" s="15" t="s">
        <v>83</v>
      </c>
      <c r="D59" s="8"/>
      <c r="E59" s="10"/>
      <c r="F59" s="10"/>
      <c r="G59" s="10"/>
      <c r="H59" s="17"/>
      <c r="I59" s="11"/>
      <c r="J59" s="10">
        <f t="shared" si="0"/>
        <v>0</v>
      </c>
      <c r="K59" s="12"/>
      <c r="L59" s="10"/>
      <c r="M59" s="10"/>
      <c r="N59" s="10"/>
      <c r="O59" s="10">
        <f t="shared" si="1"/>
        <v>0</v>
      </c>
      <c r="P59" s="10"/>
      <c r="Q59" s="13"/>
      <c r="R59" s="16"/>
      <c r="S59" s="8"/>
      <c r="T59" s="10"/>
      <c r="U59" s="10">
        <v>6</v>
      </c>
      <c r="V59" s="10">
        <v>4</v>
      </c>
      <c r="W59" s="11"/>
      <c r="X59" s="26">
        <f t="shared" si="2"/>
        <v>10</v>
      </c>
      <c r="Y59" s="70">
        <v>18</v>
      </c>
      <c r="Z59" s="10">
        <v>6</v>
      </c>
      <c r="AA59" s="10">
        <v>7</v>
      </c>
      <c r="AB59" s="10">
        <v>1</v>
      </c>
      <c r="AC59" s="26">
        <f t="shared" si="3"/>
        <v>14</v>
      </c>
      <c r="AD59" s="25">
        <v>5</v>
      </c>
      <c r="AE59" s="28">
        <f t="shared" si="4"/>
        <v>47</v>
      </c>
      <c r="AF59" s="1"/>
      <c r="AG59" s="1"/>
      <c r="AH59" s="1"/>
      <c r="AI59" s="1"/>
      <c r="AJ59" s="1"/>
      <c r="AK59" s="1"/>
      <c r="AL59" s="1"/>
    </row>
    <row r="60" spans="2:38" ht="19.2" customHeight="1" x14ac:dyDescent="0.3">
      <c r="B60" s="8">
        <v>46</v>
      </c>
      <c r="C60" s="15" t="s">
        <v>84</v>
      </c>
      <c r="D60" s="8"/>
      <c r="E60" s="10"/>
      <c r="F60" s="10"/>
      <c r="G60" s="10"/>
      <c r="H60" s="10"/>
      <c r="I60" s="11"/>
      <c r="J60" s="10">
        <f t="shared" si="0"/>
        <v>0</v>
      </c>
      <c r="K60" s="12"/>
      <c r="L60" s="10"/>
      <c r="M60" s="10"/>
      <c r="N60" s="10"/>
      <c r="O60" s="10">
        <f t="shared" si="1"/>
        <v>0</v>
      </c>
      <c r="P60" s="10"/>
      <c r="Q60" s="13"/>
      <c r="R60" s="16"/>
      <c r="S60" s="8">
        <v>2</v>
      </c>
      <c r="T60" s="10">
        <v>4</v>
      </c>
      <c r="U60" s="10">
        <v>5</v>
      </c>
      <c r="V60" s="10"/>
      <c r="W60" s="11">
        <v>5</v>
      </c>
      <c r="X60" s="26">
        <f t="shared" si="2"/>
        <v>16</v>
      </c>
      <c r="Y60" s="70">
        <v>14</v>
      </c>
      <c r="Z60" s="10">
        <v>8</v>
      </c>
      <c r="AA60" s="10">
        <v>3</v>
      </c>
      <c r="AB60" s="10">
        <v>2</v>
      </c>
      <c r="AC60" s="26">
        <f t="shared" si="3"/>
        <v>13</v>
      </c>
      <c r="AD60" s="69">
        <v>5</v>
      </c>
      <c r="AE60" s="28">
        <f t="shared" si="4"/>
        <v>48</v>
      </c>
      <c r="AF60" s="1"/>
      <c r="AG60" s="1"/>
      <c r="AH60" s="1"/>
      <c r="AI60" s="1"/>
      <c r="AJ60" s="1"/>
      <c r="AK60" s="1"/>
      <c r="AL60" s="1"/>
    </row>
    <row r="61" spans="2:38" ht="19.2" customHeight="1" x14ac:dyDescent="0.3">
      <c r="B61" s="8">
        <v>47</v>
      </c>
      <c r="C61" s="15" t="s">
        <v>85</v>
      </c>
      <c r="D61" s="8"/>
      <c r="E61" s="10"/>
      <c r="F61" s="10"/>
      <c r="G61" s="17"/>
      <c r="H61" s="10"/>
      <c r="I61" s="11"/>
      <c r="J61" s="10">
        <f t="shared" si="0"/>
        <v>0</v>
      </c>
      <c r="K61" s="12"/>
      <c r="L61" s="10"/>
      <c r="M61" s="10"/>
      <c r="N61" s="10"/>
      <c r="O61" s="10">
        <f t="shared" si="1"/>
        <v>0</v>
      </c>
      <c r="P61" s="10"/>
      <c r="Q61" s="13"/>
      <c r="R61" s="16"/>
      <c r="S61" s="8">
        <v>3</v>
      </c>
      <c r="T61" s="10">
        <v>6</v>
      </c>
      <c r="U61" s="10">
        <v>6</v>
      </c>
      <c r="V61" s="10">
        <v>6</v>
      </c>
      <c r="W61" s="11">
        <v>5</v>
      </c>
      <c r="X61" s="26">
        <f t="shared" si="2"/>
        <v>26</v>
      </c>
      <c r="Y61" s="70">
        <v>11</v>
      </c>
      <c r="Z61" s="10">
        <v>8</v>
      </c>
      <c r="AA61" s="10">
        <v>8</v>
      </c>
      <c r="AB61" s="10">
        <v>4</v>
      </c>
      <c r="AC61" s="26">
        <f t="shared" si="3"/>
        <v>20</v>
      </c>
      <c r="AD61" s="25">
        <v>5</v>
      </c>
      <c r="AE61" s="28">
        <f t="shared" si="4"/>
        <v>62</v>
      </c>
      <c r="AF61" s="1"/>
      <c r="AG61" s="1"/>
      <c r="AH61" s="1"/>
      <c r="AI61" s="1"/>
      <c r="AJ61" s="1"/>
      <c r="AK61" s="1"/>
      <c r="AL61" s="1"/>
    </row>
    <row r="62" spans="2:38" ht="19.2" customHeight="1" x14ac:dyDescent="0.3">
      <c r="B62" s="8">
        <v>48</v>
      </c>
      <c r="C62" s="15" t="s">
        <v>86</v>
      </c>
      <c r="D62" s="8"/>
      <c r="E62" s="10"/>
      <c r="F62" s="10"/>
      <c r="G62" s="10"/>
      <c r="H62" s="10"/>
      <c r="I62" s="11"/>
      <c r="J62" s="10">
        <f t="shared" si="0"/>
        <v>0</v>
      </c>
      <c r="K62" s="12"/>
      <c r="L62" s="10"/>
      <c r="M62" s="10"/>
      <c r="N62" s="10"/>
      <c r="O62" s="10">
        <f t="shared" si="1"/>
        <v>0</v>
      </c>
      <c r="P62" s="10"/>
      <c r="Q62" s="13"/>
      <c r="R62" s="16"/>
      <c r="S62" s="8">
        <v>4</v>
      </c>
      <c r="T62" s="10">
        <v>1</v>
      </c>
      <c r="U62" s="10">
        <v>4</v>
      </c>
      <c r="V62" s="10">
        <v>5</v>
      </c>
      <c r="W62" s="11">
        <v>0</v>
      </c>
      <c r="X62" s="26">
        <f t="shared" si="2"/>
        <v>14</v>
      </c>
      <c r="Y62" s="70">
        <v>17</v>
      </c>
      <c r="Z62" s="10">
        <v>8</v>
      </c>
      <c r="AA62" s="10">
        <v>2</v>
      </c>
      <c r="AB62" s="10">
        <v>2</v>
      </c>
      <c r="AC62" s="26">
        <f t="shared" si="3"/>
        <v>12</v>
      </c>
      <c r="AD62" s="69">
        <v>5</v>
      </c>
      <c r="AE62" s="28">
        <f t="shared" si="4"/>
        <v>48</v>
      </c>
      <c r="AF62" s="1"/>
      <c r="AG62" s="1"/>
      <c r="AH62" s="1"/>
      <c r="AI62" s="1"/>
      <c r="AJ62" s="1"/>
      <c r="AK62" s="1"/>
      <c r="AL62" s="1"/>
    </row>
    <row r="63" spans="2:38" ht="19.2" customHeight="1" x14ac:dyDescent="0.3">
      <c r="B63" s="8">
        <v>49</v>
      </c>
      <c r="C63" s="15" t="s">
        <v>87</v>
      </c>
      <c r="D63" s="8"/>
      <c r="E63" s="10"/>
      <c r="F63" s="10"/>
      <c r="G63" s="10"/>
      <c r="H63" s="10"/>
      <c r="I63" s="11"/>
      <c r="J63" s="10">
        <f t="shared" si="0"/>
        <v>0</v>
      </c>
      <c r="K63" s="12"/>
      <c r="L63" s="10"/>
      <c r="M63" s="10"/>
      <c r="N63" s="10"/>
      <c r="O63" s="10">
        <f t="shared" si="1"/>
        <v>0</v>
      </c>
      <c r="P63" s="10"/>
      <c r="Q63" s="13"/>
      <c r="R63" s="16"/>
      <c r="S63" s="8">
        <v>3</v>
      </c>
      <c r="T63" s="10">
        <v>8</v>
      </c>
      <c r="U63" s="10">
        <v>5</v>
      </c>
      <c r="V63" s="10">
        <v>5</v>
      </c>
      <c r="W63" s="11">
        <v>6</v>
      </c>
      <c r="X63" s="26">
        <f t="shared" si="2"/>
        <v>27</v>
      </c>
      <c r="Y63" s="70">
        <v>15</v>
      </c>
      <c r="Z63" s="10">
        <v>8</v>
      </c>
      <c r="AA63" s="10">
        <v>2</v>
      </c>
      <c r="AB63" s="10">
        <v>1</v>
      </c>
      <c r="AC63" s="26">
        <f t="shared" si="3"/>
        <v>11</v>
      </c>
      <c r="AD63" s="25">
        <v>5</v>
      </c>
      <c r="AE63" s="28">
        <f t="shared" si="4"/>
        <v>58</v>
      </c>
      <c r="AF63" s="1"/>
      <c r="AG63" s="1"/>
      <c r="AH63" s="1"/>
      <c r="AI63" s="1"/>
      <c r="AJ63" s="1"/>
      <c r="AK63" s="1"/>
      <c r="AL63" s="1"/>
    </row>
    <row r="64" spans="2:38" ht="19.2" customHeight="1" x14ac:dyDescent="0.3">
      <c r="B64" s="8">
        <v>50</v>
      </c>
      <c r="C64" s="15" t="s">
        <v>88</v>
      </c>
      <c r="D64" s="8"/>
      <c r="E64" s="10"/>
      <c r="F64" s="10"/>
      <c r="G64" s="10"/>
      <c r="H64" s="10"/>
      <c r="I64" s="11"/>
      <c r="J64" s="10">
        <f t="shared" si="0"/>
        <v>0</v>
      </c>
      <c r="K64" s="12"/>
      <c r="L64" s="10"/>
      <c r="M64" s="10"/>
      <c r="N64" s="10"/>
      <c r="O64" s="10">
        <f t="shared" si="1"/>
        <v>0</v>
      </c>
      <c r="P64" s="10"/>
      <c r="Q64" s="13"/>
      <c r="R64" s="16"/>
      <c r="S64" s="8">
        <v>4</v>
      </c>
      <c r="T64" s="10">
        <v>6</v>
      </c>
      <c r="U64" s="10">
        <v>4</v>
      </c>
      <c r="V64" s="10">
        <v>6</v>
      </c>
      <c r="W64" s="11">
        <v>6</v>
      </c>
      <c r="X64" s="26">
        <f t="shared" si="2"/>
        <v>26</v>
      </c>
      <c r="Y64" s="70">
        <v>17</v>
      </c>
      <c r="Z64" s="10">
        <v>7</v>
      </c>
      <c r="AA64" s="10">
        <v>6</v>
      </c>
      <c r="AB64" s="10">
        <v>1</v>
      </c>
      <c r="AC64" s="26">
        <f t="shared" si="3"/>
        <v>14</v>
      </c>
      <c r="AD64" s="69">
        <v>5</v>
      </c>
      <c r="AE64" s="28">
        <f t="shared" si="4"/>
        <v>62</v>
      </c>
      <c r="AF64" s="1"/>
      <c r="AG64" s="1"/>
      <c r="AH64" s="1"/>
      <c r="AI64" s="1"/>
      <c r="AJ64" s="1"/>
      <c r="AK64" s="1"/>
      <c r="AL64" s="1"/>
    </row>
    <row r="65" spans="2:38" ht="19.2" customHeight="1" x14ac:dyDescent="0.3">
      <c r="B65" s="8">
        <v>51</v>
      </c>
      <c r="C65" s="15" t="s">
        <v>89</v>
      </c>
      <c r="D65" s="8"/>
      <c r="E65" s="10"/>
      <c r="F65" s="10"/>
      <c r="G65" s="10"/>
      <c r="H65" s="10"/>
      <c r="I65" s="11"/>
      <c r="J65" s="10">
        <f t="shared" si="0"/>
        <v>0</v>
      </c>
      <c r="K65" s="12"/>
      <c r="L65" s="10"/>
      <c r="M65" s="10"/>
      <c r="N65" s="10"/>
      <c r="O65" s="10">
        <f t="shared" si="1"/>
        <v>0</v>
      </c>
      <c r="P65" s="10"/>
      <c r="Q65" s="13"/>
      <c r="R65" s="16"/>
      <c r="S65" s="8">
        <v>4</v>
      </c>
      <c r="T65" s="10">
        <v>4</v>
      </c>
      <c r="U65" s="10">
        <v>6</v>
      </c>
      <c r="V65" s="10">
        <v>5</v>
      </c>
      <c r="W65" s="11">
        <v>6</v>
      </c>
      <c r="X65" s="26">
        <f t="shared" si="2"/>
        <v>25</v>
      </c>
      <c r="Y65" s="70">
        <v>9</v>
      </c>
      <c r="Z65" s="10">
        <v>8</v>
      </c>
      <c r="AA65" s="10">
        <v>6</v>
      </c>
      <c r="AB65" s="10">
        <v>3</v>
      </c>
      <c r="AC65" s="26">
        <f t="shared" si="3"/>
        <v>17</v>
      </c>
      <c r="AD65" s="25">
        <v>5</v>
      </c>
      <c r="AE65" s="28">
        <f t="shared" si="4"/>
        <v>56</v>
      </c>
      <c r="AF65" s="1"/>
      <c r="AG65" s="1"/>
      <c r="AH65" s="1"/>
      <c r="AI65" s="1"/>
      <c r="AJ65" s="1"/>
      <c r="AK65" s="1"/>
      <c r="AL65" s="1"/>
    </row>
    <row r="66" spans="2:38" ht="19.2" customHeight="1" x14ac:dyDescent="0.3">
      <c r="B66" s="8">
        <v>52</v>
      </c>
      <c r="C66" s="15" t="s">
        <v>90</v>
      </c>
      <c r="D66" s="8"/>
      <c r="E66" s="10"/>
      <c r="F66" s="10"/>
      <c r="G66" s="10"/>
      <c r="H66" s="10"/>
      <c r="I66" s="11"/>
      <c r="J66" s="10">
        <f t="shared" si="0"/>
        <v>0</v>
      </c>
      <c r="K66" s="12"/>
      <c r="L66" s="10"/>
      <c r="M66" s="10"/>
      <c r="N66" s="10"/>
      <c r="O66" s="10">
        <f t="shared" si="1"/>
        <v>0</v>
      </c>
      <c r="P66" s="10"/>
      <c r="Q66" s="13"/>
      <c r="R66" s="16"/>
      <c r="S66" s="8">
        <v>4</v>
      </c>
      <c r="T66" s="10">
        <v>3</v>
      </c>
      <c r="U66" s="10">
        <v>5</v>
      </c>
      <c r="V66" s="10">
        <v>5</v>
      </c>
      <c r="W66" s="11">
        <v>6</v>
      </c>
      <c r="X66" s="26">
        <f t="shared" si="2"/>
        <v>23</v>
      </c>
      <c r="Y66" s="70">
        <v>11</v>
      </c>
      <c r="Z66" s="10">
        <v>8</v>
      </c>
      <c r="AA66" s="10">
        <v>6</v>
      </c>
      <c r="AB66" s="10">
        <v>4</v>
      </c>
      <c r="AC66" s="26">
        <f t="shared" si="3"/>
        <v>18</v>
      </c>
      <c r="AD66" s="69">
        <v>5</v>
      </c>
      <c r="AE66" s="28">
        <f t="shared" si="4"/>
        <v>57</v>
      </c>
      <c r="AF66" s="1"/>
      <c r="AG66" s="1"/>
      <c r="AH66" s="1"/>
      <c r="AI66" s="1"/>
      <c r="AJ66" s="1"/>
      <c r="AK66" s="1"/>
      <c r="AL66" s="1"/>
    </row>
    <row r="67" spans="2:38" ht="19.2" customHeight="1" x14ac:dyDescent="0.3">
      <c r="B67" s="8">
        <v>53</v>
      </c>
      <c r="C67" s="15" t="s">
        <v>91</v>
      </c>
      <c r="D67" s="8"/>
      <c r="E67" s="10"/>
      <c r="F67" s="10"/>
      <c r="G67" s="10"/>
      <c r="H67" s="17"/>
      <c r="I67" s="11"/>
      <c r="J67" s="10">
        <f t="shared" si="0"/>
        <v>0</v>
      </c>
      <c r="K67" s="12"/>
      <c r="L67" s="10"/>
      <c r="M67" s="10"/>
      <c r="N67" s="10"/>
      <c r="O67" s="10">
        <f t="shared" si="1"/>
        <v>0</v>
      </c>
      <c r="P67" s="10"/>
      <c r="Q67" s="13"/>
      <c r="R67" s="16"/>
      <c r="S67" s="8">
        <v>0</v>
      </c>
      <c r="T67" s="10">
        <v>1</v>
      </c>
      <c r="U67" s="10">
        <v>1</v>
      </c>
      <c r="V67" s="10">
        <v>1</v>
      </c>
      <c r="W67" s="11">
        <v>2</v>
      </c>
      <c r="X67" s="26">
        <f t="shared" si="2"/>
        <v>5</v>
      </c>
      <c r="Y67" s="70">
        <v>17</v>
      </c>
      <c r="Z67" s="10">
        <v>0</v>
      </c>
      <c r="AA67" s="10"/>
      <c r="AB67" s="10"/>
      <c r="AC67" s="26">
        <f t="shared" si="3"/>
        <v>0</v>
      </c>
      <c r="AD67" s="25">
        <v>5</v>
      </c>
      <c r="AE67" s="28">
        <f t="shared" si="4"/>
        <v>27</v>
      </c>
      <c r="AF67" s="1"/>
      <c r="AG67" s="1"/>
      <c r="AH67" s="1"/>
      <c r="AI67" s="1"/>
      <c r="AJ67" s="1"/>
      <c r="AK67" s="1"/>
      <c r="AL67" s="1"/>
    </row>
    <row r="68" spans="2:38" ht="19.2" customHeight="1" x14ac:dyDescent="0.3">
      <c r="B68" s="8">
        <v>54</v>
      </c>
      <c r="C68" s="15" t="s">
        <v>92</v>
      </c>
      <c r="D68" s="8"/>
      <c r="E68" s="10"/>
      <c r="F68" s="10"/>
      <c r="G68" s="10"/>
      <c r="H68" s="10"/>
      <c r="I68" s="11"/>
      <c r="J68" s="10">
        <f t="shared" si="0"/>
        <v>0</v>
      </c>
      <c r="K68" s="12"/>
      <c r="L68" s="10"/>
      <c r="M68" s="10"/>
      <c r="N68" s="10"/>
      <c r="O68" s="10">
        <f t="shared" si="1"/>
        <v>0</v>
      </c>
      <c r="P68" s="10"/>
      <c r="Q68" s="13"/>
      <c r="R68" s="16"/>
      <c r="S68" s="8">
        <v>4</v>
      </c>
      <c r="T68" s="10">
        <v>8</v>
      </c>
      <c r="U68" s="10">
        <v>6</v>
      </c>
      <c r="V68" s="10">
        <v>6</v>
      </c>
      <c r="W68" s="11">
        <v>6</v>
      </c>
      <c r="X68" s="26">
        <f t="shared" si="2"/>
        <v>30</v>
      </c>
      <c r="Y68" s="70">
        <v>10</v>
      </c>
      <c r="Z68" s="10">
        <v>7</v>
      </c>
      <c r="AA68" s="10">
        <v>5</v>
      </c>
      <c r="AB68" s="10">
        <v>3</v>
      </c>
      <c r="AC68" s="26">
        <f t="shared" si="3"/>
        <v>15</v>
      </c>
      <c r="AD68" s="69">
        <v>5</v>
      </c>
      <c r="AE68" s="28">
        <f t="shared" si="4"/>
        <v>60</v>
      </c>
      <c r="AF68" s="1"/>
      <c r="AG68" s="1"/>
      <c r="AH68" s="1"/>
      <c r="AI68" s="1"/>
      <c r="AJ68" s="1"/>
      <c r="AK68" s="1"/>
      <c r="AL68" s="1"/>
    </row>
    <row r="69" spans="2:38" ht="19.2" customHeight="1" x14ac:dyDescent="0.3">
      <c r="B69" s="8">
        <v>55</v>
      </c>
      <c r="C69" s="15" t="s">
        <v>93</v>
      </c>
      <c r="D69" s="8"/>
      <c r="E69" s="10"/>
      <c r="F69" s="10"/>
      <c r="G69" s="17"/>
      <c r="H69" s="17"/>
      <c r="I69" s="11"/>
      <c r="J69" s="10">
        <f t="shared" si="0"/>
        <v>0</v>
      </c>
      <c r="K69" s="18"/>
      <c r="L69" s="10"/>
      <c r="M69" s="10"/>
      <c r="N69" s="10"/>
      <c r="O69" s="10">
        <f t="shared" si="1"/>
        <v>0</v>
      </c>
      <c r="P69" s="10"/>
      <c r="Q69" s="13"/>
      <c r="R69" s="16"/>
      <c r="S69" s="8">
        <v>2</v>
      </c>
      <c r="T69" s="10">
        <v>3</v>
      </c>
      <c r="U69" s="10">
        <v>1</v>
      </c>
      <c r="V69" s="10">
        <v>3</v>
      </c>
      <c r="W69" s="11">
        <v>6</v>
      </c>
      <c r="X69" s="26">
        <f t="shared" si="2"/>
        <v>15</v>
      </c>
      <c r="Y69" s="70">
        <v>15</v>
      </c>
      <c r="Z69" s="10">
        <v>7</v>
      </c>
      <c r="AA69" s="10">
        <v>4</v>
      </c>
      <c r="AB69" s="10">
        <v>2</v>
      </c>
      <c r="AC69" s="26">
        <f t="shared" si="3"/>
        <v>13</v>
      </c>
      <c r="AD69" s="25">
        <v>5</v>
      </c>
      <c r="AE69" s="28">
        <f t="shared" si="4"/>
        <v>48</v>
      </c>
      <c r="AF69" s="1"/>
      <c r="AG69" s="1"/>
      <c r="AH69" s="1"/>
      <c r="AI69" s="1"/>
      <c r="AJ69" s="1"/>
      <c r="AK69" s="1"/>
      <c r="AL69" s="1"/>
    </row>
    <row r="70" spans="2:38" ht="19.2" customHeight="1" x14ac:dyDescent="0.3">
      <c r="B70" s="8">
        <v>56</v>
      </c>
      <c r="C70" s="15" t="s">
        <v>94</v>
      </c>
      <c r="D70" s="8"/>
      <c r="E70" s="10"/>
      <c r="F70" s="10"/>
      <c r="G70" s="10"/>
      <c r="H70" s="10"/>
      <c r="I70" s="11"/>
      <c r="J70" s="10">
        <f t="shared" si="0"/>
        <v>0</v>
      </c>
      <c r="K70" s="19"/>
      <c r="L70" s="10"/>
      <c r="M70" s="10"/>
      <c r="N70" s="10"/>
      <c r="O70" s="10">
        <f t="shared" si="1"/>
        <v>0</v>
      </c>
      <c r="P70" s="10"/>
      <c r="Q70" s="13"/>
      <c r="R70" s="16"/>
      <c r="S70" s="8">
        <v>3</v>
      </c>
      <c r="T70" s="10">
        <v>3</v>
      </c>
      <c r="U70" s="10">
        <v>2</v>
      </c>
      <c r="V70" s="10">
        <v>5</v>
      </c>
      <c r="W70" s="11">
        <v>6</v>
      </c>
      <c r="X70" s="26">
        <f t="shared" si="2"/>
        <v>19</v>
      </c>
      <c r="Y70" s="70">
        <v>10</v>
      </c>
      <c r="Z70" s="10">
        <v>7</v>
      </c>
      <c r="AA70" s="10">
        <v>7</v>
      </c>
      <c r="AB70" s="10">
        <v>1</v>
      </c>
      <c r="AC70" s="26">
        <f t="shared" si="3"/>
        <v>15</v>
      </c>
      <c r="AD70" s="69">
        <v>5</v>
      </c>
      <c r="AE70" s="28">
        <f t="shared" si="4"/>
        <v>49</v>
      </c>
      <c r="AF70" s="1"/>
      <c r="AG70" s="1"/>
      <c r="AH70" s="1"/>
      <c r="AI70" s="1"/>
      <c r="AJ70" s="1"/>
      <c r="AK70" s="1"/>
      <c r="AL70" s="1"/>
    </row>
    <row r="71" spans="2:38" ht="19.2" customHeight="1" x14ac:dyDescent="0.3">
      <c r="B71" s="8">
        <v>57</v>
      </c>
      <c r="C71" s="22" t="s">
        <v>95</v>
      </c>
      <c r="D71" s="21"/>
      <c r="E71" s="24"/>
      <c r="F71" s="24"/>
      <c r="G71" s="50"/>
      <c r="H71" s="24"/>
      <c r="I71" s="30"/>
      <c r="J71" s="24">
        <f t="shared" si="0"/>
        <v>0</v>
      </c>
      <c r="K71" s="41"/>
      <c r="L71" s="24"/>
      <c r="M71" s="24"/>
      <c r="N71" s="24"/>
      <c r="O71" s="24">
        <f t="shared" si="1"/>
        <v>0</v>
      </c>
      <c r="P71" s="24"/>
      <c r="Q71" s="40"/>
      <c r="R71" s="23"/>
      <c r="S71" s="21">
        <v>4</v>
      </c>
      <c r="T71" s="24">
        <v>3</v>
      </c>
      <c r="U71" s="24">
        <v>4</v>
      </c>
      <c r="V71" s="24">
        <v>6</v>
      </c>
      <c r="W71" s="30">
        <v>6</v>
      </c>
      <c r="X71" s="26">
        <f t="shared" si="2"/>
        <v>23</v>
      </c>
      <c r="Y71" s="70">
        <v>14</v>
      </c>
      <c r="Z71" s="24">
        <v>8</v>
      </c>
      <c r="AA71" s="24">
        <v>4</v>
      </c>
      <c r="AB71" s="24">
        <v>1</v>
      </c>
      <c r="AC71" s="26">
        <f t="shared" si="3"/>
        <v>13</v>
      </c>
      <c r="AD71" s="25">
        <v>5</v>
      </c>
      <c r="AE71" s="28">
        <f t="shared" si="4"/>
        <v>55</v>
      </c>
      <c r="AF71" s="1"/>
      <c r="AG71" s="1"/>
      <c r="AH71" s="1"/>
      <c r="AI71" s="1"/>
      <c r="AJ71" s="1"/>
      <c r="AK71" s="1"/>
      <c r="AL71" s="1"/>
    </row>
    <row r="72" spans="2:38" ht="19.2" customHeight="1" x14ac:dyDescent="0.3">
      <c r="B72" s="8">
        <v>58</v>
      </c>
      <c r="C72" s="42" t="s">
        <v>96</v>
      </c>
      <c r="D72" s="31"/>
      <c r="E72" s="31"/>
      <c r="F72" s="31"/>
      <c r="G72" s="31"/>
      <c r="H72" s="31"/>
      <c r="I72" s="43"/>
      <c r="J72" s="31">
        <f t="shared" si="0"/>
        <v>0</v>
      </c>
      <c r="K72" s="44"/>
      <c r="L72" s="31"/>
      <c r="M72" s="31"/>
      <c r="N72" s="31"/>
      <c r="O72" s="31">
        <f t="shared" si="1"/>
        <v>0</v>
      </c>
      <c r="P72" s="31"/>
      <c r="Q72" s="31"/>
      <c r="R72" s="16"/>
      <c r="S72" s="31">
        <v>4</v>
      </c>
      <c r="T72" s="31">
        <v>7</v>
      </c>
      <c r="U72" s="31">
        <v>5</v>
      </c>
      <c r="V72" s="31">
        <v>5</v>
      </c>
      <c r="W72" s="43">
        <v>6</v>
      </c>
      <c r="X72" s="26">
        <f t="shared" si="2"/>
        <v>27</v>
      </c>
      <c r="Y72" s="70">
        <v>10</v>
      </c>
      <c r="Z72" s="31">
        <v>5</v>
      </c>
      <c r="AA72" s="31">
        <v>6</v>
      </c>
      <c r="AB72" s="31">
        <v>0</v>
      </c>
      <c r="AC72" s="26">
        <f t="shared" si="3"/>
        <v>11</v>
      </c>
      <c r="AD72" s="69">
        <v>5</v>
      </c>
      <c r="AE72" s="28">
        <f t="shared" si="4"/>
        <v>53</v>
      </c>
      <c r="AF72" s="1"/>
      <c r="AG72" s="1"/>
      <c r="AH72" s="1"/>
      <c r="AI72" s="1"/>
      <c r="AJ72" s="1"/>
      <c r="AK72" s="1"/>
      <c r="AL72" s="1"/>
    </row>
    <row r="73" spans="2:38" ht="19.2" customHeight="1" x14ac:dyDescent="0.3">
      <c r="B73" s="8">
        <v>59</v>
      </c>
      <c r="C73" s="42" t="s">
        <v>97</v>
      </c>
      <c r="D73" s="31"/>
      <c r="E73" s="31"/>
      <c r="F73" s="31"/>
      <c r="G73" s="45"/>
      <c r="H73" s="31"/>
      <c r="I73" s="43"/>
      <c r="J73" s="31"/>
      <c r="K73" s="44"/>
      <c r="L73" s="31"/>
      <c r="M73" s="31"/>
      <c r="N73" s="31"/>
      <c r="O73" s="31"/>
      <c r="P73" s="31"/>
      <c r="Q73" s="31"/>
      <c r="R73" s="16"/>
      <c r="S73" s="31">
        <v>3</v>
      </c>
      <c r="T73" s="31">
        <v>1</v>
      </c>
      <c r="U73" s="31">
        <v>2</v>
      </c>
      <c r="V73" s="31">
        <v>2</v>
      </c>
      <c r="W73" s="43">
        <v>1</v>
      </c>
      <c r="X73" s="26">
        <f t="shared" si="2"/>
        <v>9</v>
      </c>
      <c r="Y73" s="70">
        <v>18</v>
      </c>
      <c r="Z73" s="31">
        <v>0</v>
      </c>
      <c r="AA73" s="31">
        <v>0</v>
      </c>
      <c r="AB73" s="31">
        <v>3</v>
      </c>
      <c r="AC73" s="26">
        <f t="shared" si="3"/>
        <v>3</v>
      </c>
      <c r="AD73" s="25">
        <v>5</v>
      </c>
      <c r="AE73" s="28">
        <f t="shared" si="4"/>
        <v>35</v>
      </c>
      <c r="AF73" s="1"/>
      <c r="AG73" s="1"/>
      <c r="AH73" s="1"/>
      <c r="AI73" s="1"/>
      <c r="AJ73" s="1"/>
      <c r="AK73" s="1"/>
      <c r="AL73" s="1"/>
    </row>
    <row r="74" spans="2:38" ht="19.2" customHeight="1" x14ac:dyDescent="0.3">
      <c r="B74" s="8">
        <v>60</v>
      </c>
      <c r="C74" s="42" t="s">
        <v>98</v>
      </c>
      <c r="D74" s="31"/>
      <c r="E74" s="31"/>
      <c r="F74" s="31"/>
      <c r="G74" s="45"/>
      <c r="H74" s="31"/>
      <c r="I74" s="43"/>
      <c r="J74" s="31"/>
      <c r="K74" s="44"/>
      <c r="L74" s="31"/>
      <c r="M74" s="31"/>
      <c r="N74" s="31"/>
      <c r="O74" s="31"/>
      <c r="P74" s="31"/>
      <c r="Q74" s="31"/>
      <c r="R74" s="16"/>
      <c r="S74" s="31">
        <v>3</v>
      </c>
      <c r="T74" s="31">
        <v>4</v>
      </c>
      <c r="U74" s="31">
        <v>4</v>
      </c>
      <c r="V74" s="31">
        <v>4</v>
      </c>
      <c r="W74" s="43">
        <v>4</v>
      </c>
      <c r="X74" s="26">
        <f t="shared" si="2"/>
        <v>19</v>
      </c>
      <c r="Y74" s="70">
        <v>16</v>
      </c>
      <c r="Z74" s="31">
        <v>0</v>
      </c>
      <c r="AA74" s="31">
        <v>8</v>
      </c>
      <c r="AB74" s="31">
        <v>0</v>
      </c>
      <c r="AC74" s="26">
        <f t="shared" si="3"/>
        <v>8</v>
      </c>
      <c r="AD74" s="69">
        <v>5</v>
      </c>
      <c r="AE74" s="28">
        <f t="shared" si="4"/>
        <v>48</v>
      </c>
      <c r="AF74" s="1"/>
      <c r="AG74" s="1"/>
      <c r="AH74" s="1"/>
      <c r="AI74" s="1"/>
      <c r="AJ74" s="1"/>
      <c r="AK74" s="1"/>
      <c r="AL74" s="1"/>
    </row>
    <row r="75" spans="2:38" ht="19.2" customHeight="1" x14ac:dyDescent="0.3">
      <c r="B75" s="8">
        <v>61</v>
      </c>
      <c r="C75" s="42" t="s">
        <v>99</v>
      </c>
      <c r="D75" s="31"/>
      <c r="E75" s="31"/>
      <c r="F75" s="31"/>
      <c r="G75" s="45"/>
      <c r="H75" s="31"/>
      <c r="I75" s="43"/>
      <c r="J75" s="31"/>
      <c r="K75" s="44"/>
      <c r="L75" s="31"/>
      <c r="M75" s="31"/>
      <c r="N75" s="31"/>
      <c r="O75" s="31"/>
      <c r="P75" s="31"/>
      <c r="Q75" s="31"/>
      <c r="R75" s="16"/>
      <c r="S75" s="31">
        <v>3</v>
      </c>
      <c r="T75" s="31">
        <v>4</v>
      </c>
      <c r="U75" s="31">
        <v>4</v>
      </c>
      <c r="V75" s="31">
        <v>2</v>
      </c>
      <c r="W75" s="43"/>
      <c r="X75" s="26">
        <f t="shared" si="2"/>
        <v>13</v>
      </c>
      <c r="Y75" s="70">
        <v>14</v>
      </c>
      <c r="Z75" s="31">
        <v>2</v>
      </c>
      <c r="AA75" s="31"/>
      <c r="AB75" s="31"/>
      <c r="AC75" s="26">
        <f t="shared" si="3"/>
        <v>2</v>
      </c>
      <c r="AD75" s="25">
        <v>5</v>
      </c>
      <c r="AE75" s="28">
        <f t="shared" si="4"/>
        <v>34</v>
      </c>
    </row>
    <row r="76" spans="2:38" ht="19.2" customHeight="1" x14ac:dyDescent="0.3">
      <c r="B76" s="8">
        <v>62</v>
      </c>
      <c r="C76" s="42" t="s">
        <v>100</v>
      </c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31"/>
      <c r="R76" s="16"/>
      <c r="S76" s="42">
        <v>4</v>
      </c>
      <c r="T76" s="42">
        <v>4</v>
      </c>
      <c r="U76" s="42">
        <v>4</v>
      </c>
      <c r="V76" s="42">
        <v>3</v>
      </c>
      <c r="W76" s="42">
        <v>6</v>
      </c>
      <c r="X76" s="26">
        <f t="shared" si="2"/>
        <v>21</v>
      </c>
      <c r="Y76" s="70">
        <v>16</v>
      </c>
      <c r="Z76" s="31">
        <v>4</v>
      </c>
      <c r="AA76" s="31">
        <v>3</v>
      </c>
      <c r="AB76" s="31">
        <v>4</v>
      </c>
      <c r="AC76" s="26">
        <f t="shared" si="3"/>
        <v>11</v>
      </c>
      <c r="AD76" s="69">
        <v>5</v>
      </c>
      <c r="AE76" s="28">
        <f t="shared" si="4"/>
        <v>53</v>
      </c>
    </row>
    <row r="77" spans="2:38" ht="19.2" customHeight="1" x14ac:dyDescent="0.3">
      <c r="B77" s="8">
        <v>63</v>
      </c>
      <c r="C77" s="42" t="s">
        <v>101</v>
      </c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31"/>
      <c r="R77" s="16"/>
      <c r="S77" s="42">
        <v>4</v>
      </c>
      <c r="T77" s="42">
        <v>4</v>
      </c>
      <c r="U77" s="42">
        <v>2</v>
      </c>
      <c r="V77" s="42">
        <v>3</v>
      </c>
      <c r="W77" s="42">
        <v>6</v>
      </c>
      <c r="X77" s="26">
        <f t="shared" si="2"/>
        <v>19</v>
      </c>
      <c r="Y77" s="70">
        <v>13</v>
      </c>
      <c r="Z77" s="31">
        <v>6</v>
      </c>
      <c r="AA77" s="31">
        <v>4</v>
      </c>
      <c r="AB77" s="31">
        <v>4</v>
      </c>
      <c r="AC77" s="26">
        <f t="shared" si="3"/>
        <v>14</v>
      </c>
      <c r="AD77" s="25">
        <v>5</v>
      </c>
      <c r="AE77" s="28">
        <f t="shared" si="4"/>
        <v>51</v>
      </c>
    </row>
    <row r="78" spans="2:38" ht="19.2" customHeight="1" x14ac:dyDescent="0.3">
      <c r="B78" s="8">
        <v>64</v>
      </c>
      <c r="C78" s="42" t="s">
        <v>102</v>
      </c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31"/>
      <c r="R78" s="16"/>
      <c r="S78" s="42">
        <v>4</v>
      </c>
      <c r="T78" s="42">
        <v>6</v>
      </c>
      <c r="U78" s="42">
        <v>6</v>
      </c>
      <c r="V78" s="42">
        <v>6</v>
      </c>
      <c r="W78" s="42">
        <v>6</v>
      </c>
      <c r="X78" s="26">
        <f t="shared" si="2"/>
        <v>28</v>
      </c>
      <c r="Y78" s="70">
        <v>16</v>
      </c>
      <c r="Z78" s="31">
        <v>8</v>
      </c>
      <c r="AA78" s="31">
        <v>7</v>
      </c>
      <c r="AB78" s="31">
        <v>4</v>
      </c>
      <c r="AC78" s="26">
        <f t="shared" si="3"/>
        <v>19</v>
      </c>
      <c r="AD78" s="69">
        <v>5</v>
      </c>
      <c r="AE78" s="28">
        <f t="shared" si="4"/>
        <v>68</v>
      </c>
    </row>
    <row r="79" spans="2:38" ht="19.2" customHeight="1" x14ac:dyDescent="0.3">
      <c r="B79" s="8">
        <v>65</v>
      </c>
      <c r="C79" s="42" t="s">
        <v>103</v>
      </c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31"/>
      <c r="R79" s="16"/>
      <c r="S79" s="42">
        <v>4</v>
      </c>
      <c r="T79" s="42">
        <v>7</v>
      </c>
      <c r="U79" s="42">
        <v>6</v>
      </c>
      <c r="V79" s="42">
        <v>6</v>
      </c>
      <c r="W79" s="42">
        <v>6</v>
      </c>
      <c r="X79" s="26">
        <f t="shared" si="2"/>
        <v>29</v>
      </c>
      <c r="Y79" s="70">
        <v>19</v>
      </c>
      <c r="Z79" s="31">
        <v>8</v>
      </c>
      <c r="AA79" s="31">
        <v>8</v>
      </c>
      <c r="AB79" s="31">
        <v>4</v>
      </c>
      <c r="AC79" s="26">
        <f t="shared" si="3"/>
        <v>20</v>
      </c>
      <c r="AD79" s="25">
        <v>5</v>
      </c>
      <c r="AE79" s="28">
        <f t="shared" si="4"/>
        <v>73</v>
      </c>
    </row>
    <row r="80" spans="2:38" ht="15.6" x14ac:dyDescent="0.3">
      <c r="B80" s="8">
        <v>66</v>
      </c>
      <c r="C80" s="47" t="s">
        <v>104</v>
      </c>
      <c r="D80" s="48"/>
      <c r="E80" s="48"/>
      <c r="F80" s="48"/>
      <c r="G80" s="48"/>
      <c r="H80" s="48"/>
      <c r="I80" s="48"/>
      <c r="J80" s="47"/>
      <c r="K80" s="48"/>
      <c r="L80" s="48"/>
      <c r="M80" s="48"/>
      <c r="N80" s="48"/>
      <c r="O80" s="47"/>
      <c r="P80" s="48"/>
      <c r="Q80" s="48"/>
      <c r="R80" s="49"/>
      <c r="S80" s="42">
        <v>4</v>
      </c>
      <c r="T80" s="42">
        <v>5</v>
      </c>
      <c r="U80" s="42">
        <v>6</v>
      </c>
      <c r="V80" s="42">
        <v>6</v>
      </c>
      <c r="W80" s="42">
        <v>6</v>
      </c>
      <c r="X80" s="26">
        <f t="shared" ref="X80:X143" si="5">SUM(S80:W80)</f>
        <v>27</v>
      </c>
      <c r="Y80" s="70">
        <v>17</v>
      </c>
      <c r="Z80" s="46">
        <v>6</v>
      </c>
      <c r="AA80" s="46">
        <v>8</v>
      </c>
      <c r="AB80" s="46">
        <v>1</v>
      </c>
      <c r="AC80" s="26">
        <f t="shared" ref="AC80:AC143" si="6">SUM(Z80:AB80)</f>
        <v>15</v>
      </c>
      <c r="AD80" s="69">
        <v>5</v>
      </c>
      <c r="AE80" s="28">
        <f t="shared" ref="AE80:AE143" si="7">SUM(AD80+AC80+Y80+X80)</f>
        <v>64</v>
      </c>
    </row>
    <row r="81" spans="2:31" ht="15.6" x14ac:dyDescent="0.3">
      <c r="B81" s="8">
        <v>67</v>
      </c>
      <c r="C81" s="47" t="s">
        <v>105</v>
      </c>
      <c r="D81" s="48"/>
      <c r="E81" s="48"/>
      <c r="F81" s="48"/>
      <c r="G81" s="48"/>
      <c r="H81" s="48"/>
      <c r="I81" s="48"/>
      <c r="J81" s="47"/>
      <c r="K81" s="48"/>
      <c r="L81" s="48"/>
      <c r="M81" s="48"/>
      <c r="N81" s="48"/>
      <c r="O81" s="47"/>
      <c r="P81" s="48"/>
      <c r="Q81" s="48"/>
      <c r="R81" s="49"/>
      <c r="S81" s="42">
        <v>3</v>
      </c>
      <c r="T81" s="42">
        <v>0</v>
      </c>
      <c r="U81" s="42">
        <v>0</v>
      </c>
      <c r="V81" s="42">
        <v>2</v>
      </c>
      <c r="W81" s="42">
        <v>5</v>
      </c>
      <c r="X81" s="26">
        <f t="shared" si="5"/>
        <v>10</v>
      </c>
      <c r="Y81" s="70">
        <v>14</v>
      </c>
      <c r="Z81" s="46">
        <v>8</v>
      </c>
      <c r="AA81" s="46">
        <v>6</v>
      </c>
      <c r="AB81" s="46">
        <v>3</v>
      </c>
      <c r="AC81" s="26">
        <f t="shared" si="6"/>
        <v>17</v>
      </c>
      <c r="AD81" s="25">
        <v>5</v>
      </c>
      <c r="AE81" s="28">
        <f t="shared" si="7"/>
        <v>46</v>
      </c>
    </row>
    <row r="82" spans="2:31" ht="15.6" x14ac:dyDescent="0.3">
      <c r="B82" s="8">
        <v>68</v>
      </c>
      <c r="C82" s="48" t="s">
        <v>106</v>
      </c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2">
        <v>3</v>
      </c>
      <c r="T82" s="42">
        <v>4</v>
      </c>
      <c r="U82" s="42">
        <v>4</v>
      </c>
      <c r="V82" s="42">
        <v>4</v>
      </c>
      <c r="W82" s="42">
        <v>5</v>
      </c>
      <c r="X82" s="26">
        <f t="shared" si="5"/>
        <v>20</v>
      </c>
      <c r="Y82" s="70">
        <v>17</v>
      </c>
      <c r="Z82" s="47">
        <v>3</v>
      </c>
      <c r="AA82" s="47">
        <v>3</v>
      </c>
      <c r="AB82" s="47">
        <v>0</v>
      </c>
      <c r="AC82" s="26">
        <f t="shared" si="6"/>
        <v>6</v>
      </c>
      <c r="AD82" s="69">
        <v>5</v>
      </c>
      <c r="AE82" s="28">
        <f t="shared" si="7"/>
        <v>48</v>
      </c>
    </row>
    <row r="83" spans="2:31" ht="15.6" x14ac:dyDescent="0.3">
      <c r="B83" s="8">
        <v>69</v>
      </c>
      <c r="C83" s="48" t="s">
        <v>107</v>
      </c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2">
        <v>4</v>
      </c>
      <c r="T83" s="42">
        <v>4</v>
      </c>
      <c r="U83" s="42">
        <v>5</v>
      </c>
      <c r="V83" s="42">
        <v>5</v>
      </c>
      <c r="W83" s="42">
        <v>6</v>
      </c>
      <c r="X83" s="26">
        <f t="shared" si="5"/>
        <v>24</v>
      </c>
      <c r="Y83" s="70">
        <v>17</v>
      </c>
      <c r="Z83" s="47">
        <v>7</v>
      </c>
      <c r="AA83" s="47">
        <v>8</v>
      </c>
      <c r="AB83" s="47">
        <v>4</v>
      </c>
      <c r="AC83" s="26">
        <f t="shared" si="6"/>
        <v>19</v>
      </c>
      <c r="AD83" s="25">
        <v>5</v>
      </c>
      <c r="AE83" s="28">
        <f t="shared" si="7"/>
        <v>65</v>
      </c>
    </row>
    <row r="84" spans="2:31" ht="15.6" x14ac:dyDescent="0.3">
      <c r="B84" s="8">
        <v>70</v>
      </c>
      <c r="C84" s="48" t="s">
        <v>108</v>
      </c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2">
        <v>4</v>
      </c>
      <c r="T84" s="42">
        <v>8</v>
      </c>
      <c r="U84" s="42">
        <v>4</v>
      </c>
      <c r="V84" s="42">
        <v>6</v>
      </c>
      <c r="W84" s="42">
        <v>6</v>
      </c>
      <c r="X84" s="26">
        <f t="shared" si="5"/>
        <v>28</v>
      </c>
      <c r="Y84" s="70">
        <v>17</v>
      </c>
      <c r="Z84" s="47">
        <v>7</v>
      </c>
      <c r="AA84" s="47">
        <v>8</v>
      </c>
      <c r="AB84" s="47">
        <v>1</v>
      </c>
      <c r="AC84" s="26">
        <f t="shared" si="6"/>
        <v>16</v>
      </c>
      <c r="AD84" s="69">
        <v>5</v>
      </c>
      <c r="AE84" s="28">
        <f t="shared" si="7"/>
        <v>66</v>
      </c>
    </row>
    <row r="85" spans="2:31" ht="15.6" x14ac:dyDescent="0.3">
      <c r="B85" s="8">
        <v>71</v>
      </c>
      <c r="C85" s="48" t="s">
        <v>109</v>
      </c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2">
        <v>3</v>
      </c>
      <c r="T85" s="42">
        <v>0</v>
      </c>
      <c r="U85" s="42">
        <v>5</v>
      </c>
      <c r="V85" s="42">
        <v>6</v>
      </c>
      <c r="W85" s="42">
        <v>2</v>
      </c>
      <c r="X85" s="26">
        <f t="shared" si="5"/>
        <v>16</v>
      </c>
      <c r="Y85" s="70">
        <v>17</v>
      </c>
      <c r="Z85" s="47">
        <v>7</v>
      </c>
      <c r="AA85" s="51">
        <v>8</v>
      </c>
      <c r="AB85" s="51">
        <v>3</v>
      </c>
      <c r="AC85" s="26">
        <f t="shared" si="6"/>
        <v>18</v>
      </c>
      <c r="AD85" s="25">
        <v>5</v>
      </c>
      <c r="AE85" s="28">
        <f t="shared" si="7"/>
        <v>56</v>
      </c>
    </row>
    <row r="86" spans="2:31" ht="15.6" x14ac:dyDescent="0.3">
      <c r="B86" s="8">
        <v>72</v>
      </c>
      <c r="C86" s="48" t="s">
        <v>110</v>
      </c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2">
        <v>3</v>
      </c>
      <c r="T86" s="42">
        <v>3</v>
      </c>
      <c r="U86" s="42">
        <v>4</v>
      </c>
      <c r="V86" s="42">
        <v>1</v>
      </c>
      <c r="W86" s="42">
        <v>5</v>
      </c>
      <c r="X86" s="26">
        <f t="shared" si="5"/>
        <v>16</v>
      </c>
      <c r="Y86" s="70">
        <v>17</v>
      </c>
      <c r="Z86" s="51">
        <v>3</v>
      </c>
      <c r="AA86" s="51">
        <v>3</v>
      </c>
      <c r="AB86" s="51">
        <v>3</v>
      </c>
      <c r="AC86" s="26">
        <f t="shared" si="6"/>
        <v>9</v>
      </c>
      <c r="AD86" s="69">
        <v>5</v>
      </c>
      <c r="AE86" s="28">
        <f t="shared" si="7"/>
        <v>47</v>
      </c>
    </row>
    <row r="87" spans="2:31" ht="15.6" x14ac:dyDescent="0.3">
      <c r="B87" s="8">
        <v>73</v>
      </c>
      <c r="C87" s="48" t="s">
        <v>111</v>
      </c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2">
        <v>4</v>
      </c>
      <c r="T87" s="42">
        <v>4</v>
      </c>
      <c r="U87" s="42">
        <v>5</v>
      </c>
      <c r="V87" s="42">
        <v>6</v>
      </c>
      <c r="W87" s="42">
        <v>6</v>
      </c>
      <c r="X87" s="26">
        <f t="shared" si="5"/>
        <v>25</v>
      </c>
      <c r="Y87" s="70">
        <v>18</v>
      </c>
      <c r="Z87" s="51">
        <v>7</v>
      </c>
      <c r="AA87" s="51">
        <v>8</v>
      </c>
      <c r="AB87" s="51">
        <v>4</v>
      </c>
      <c r="AC87" s="26">
        <f t="shared" si="6"/>
        <v>19</v>
      </c>
      <c r="AD87" s="25">
        <v>5</v>
      </c>
      <c r="AE87" s="28">
        <f t="shared" si="7"/>
        <v>67</v>
      </c>
    </row>
    <row r="88" spans="2:31" ht="15.6" x14ac:dyDescent="0.3">
      <c r="B88" s="8">
        <v>74</v>
      </c>
      <c r="C88" s="48" t="s">
        <v>112</v>
      </c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2">
        <v>4</v>
      </c>
      <c r="T88" s="42">
        <v>4</v>
      </c>
      <c r="U88" s="42">
        <v>5</v>
      </c>
      <c r="V88" s="42">
        <v>1</v>
      </c>
      <c r="W88" s="42">
        <v>0</v>
      </c>
      <c r="X88" s="26">
        <f t="shared" si="5"/>
        <v>14</v>
      </c>
      <c r="Y88" s="70">
        <v>13</v>
      </c>
      <c r="Z88" s="51">
        <v>4</v>
      </c>
      <c r="AA88" s="51">
        <v>7</v>
      </c>
      <c r="AB88" s="51">
        <v>0</v>
      </c>
      <c r="AC88" s="26">
        <f t="shared" si="6"/>
        <v>11</v>
      </c>
      <c r="AD88" s="69">
        <v>5</v>
      </c>
      <c r="AE88" s="28">
        <f t="shared" si="7"/>
        <v>43</v>
      </c>
    </row>
    <row r="89" spans="2:31" ht="15.6" x14ac:dyDescent="0.3">
      <c r="B89" s="8">
        <v>75</v>
      </c>
      <c r="C89" s="48" t="s">
        <v>113</v>
      </c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2">
        <v>4</v>
      </c>
      <c r="T89" s="42">
        <v>6</v>
      </c>
      <c r="U89" s="42">
        <v>6</v>
      </c>
      <c r="V89" s="42">
        <v>6</v>
      </c>
      <c r="W89" s="42">
        <v>6</v>
      </c>
      <c r="X89" s="26">
        <f t="shared" si="5"/>
        <v>28</v>
      </c>
      <c r="Y89" s="70">
        <v>18</v>
      </c>
      <c r="Z89" s="51">
        <v>8</v>
      </c>
      <c r="AA89" s="51">
        <v>8</v>
      </c>
      <c r="AB89" s="51">
        <v>4</v>
      </c>
      <c r="AC89" s="26">
        <f t="shared" si="6"/>
        <v>20</v>
      </c>
      <c r="AD89" s="25">
        <v>5</v>
      </c>
      <c r="AE89" s="28">
        <f t="shared" si="7"/>
        <v>71</v>
      </c>
    </row>
    <row r="90" spans="2:31" ht="15.6" x14ac:dyDescent="0.3">
      <c r="B90" s="8">
        <v>76</v>
      </c>
      <c r="C90" s="48" t="s">
        <v>114</v>
      </c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2">
        <v>4</v>
      </c>
      <c r="T90" s="42">
        <v>2</v>
      </c>
      <c r="U90" s="42">
        <v>6</v>
      </c>
      <c r="V90" s="42">
        <v>6</v>
      </c>
      <c r="W90" s="42">
        <v>5</v>
      </c>
      <c r="X90" s="26">
        <f t="shared" si="5"/>
        <v>23</v>
      </c>
      <c r="Y90" s="70">
        <v>16</v>
      </c>
      <c r="Z90" s="51">
        <v>3</v>
      </c>
      <c r="AA90" s="51">
        <v>1</v>
      </c>
      <c r="AB90" s="51">
        <v>0</v>
      </c>
      <c r="AC90" s="26">
        <f t="shared" si="6"/>
        <v>4</v>
      </c>
      <c r="AD90" s="69">
        <v>5</v>
      </c>
      <c r="AE90" s="28">
        <f t="shared" si="7"/>
        <v>48</v>
      </c>
    </row>
    <row r="91" spans="2:31" ht="15.6" x14ac:dyDescent="0.3">
      <c r="B91" s="8">
        <v>77</v>
      </c>
      <c r="C91" s="48" t="s">
        <v>115</v>
      </c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2"/>
      <c r="T91" s="42"/>
      <c r="U91" s="42"/>
      <c r="V91" s="42"/>
      <c r="W91" s="42"/>
      <c r="X91" s="26">
        <f t="shared" si="5"/>
        <v>0</v>
      </c>
      <c r="Y91" s="70">
        <v>18</v>
      </c>
      <c r="Z91" s="51"/>
      <c r="AA91" s="51"/>
      <c r="AB91" s="51"/>
      <c r="AC91" s="26">
        <f t="shared" si="6"/>
        <v>0</v>
      </c>
      <c r="AD91" s="25">
        <v>5</v>
      </c>
      <c r="AE91" s="28">
        <f t="shared" si="7"/>
        <v>23</v>
      </c>
    </row>
    <row r="92" spans="2:31" ht="15.6" x14ac:dyDescent="0.3">
      <c r="B92" s="8">
        <v>78</v>
      </c>
      <c r="C92" s="48" t="s">
        <v>116</v>
      </c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2">
        <v>4</v>
      </c>
      <c r="T92" s="42">
        <v>2</v>
      </c>
      <c r="U92" s="42">
        <v>3</v>
      </c>
      <c r="V92" s="42">
        <v>0</v>
      </c>
      <c r="W92" s="42">
        <v>0</v>
      </c>
      <c r="X92" s="26">
        <f t="shared" si="5"/>
        <v>9</v>
      </c>
      <c r="Y92" s="70">
        <v>17</v>
      </c>
      <c r="Z92" s="51">
        <v>1</v>
      </c>
      <c r="AA92" s="51">
        <v>3</v>
      </c>
      <c r="AB92" s="51"/>
      <c r="AC92" s="26">
        <f t="shared" si="6"/>
        <v>4</v>
      </c>
      <c r="AD92" s="69">
        <v>5</v>
      </c>
      <c r="AE92" s="28">
        <f t="shared" si="7"/>
        <v>35</v>
      </c>
    </row>
    <row r="93" spans="2:31" ht="15.6" x14ac:dyDescent="0.3">
      <c r="B93" s="8">
        <v>79</v>
      </c>
      <c r="C93" s="48" t="s">
        <v>117</v>
      </c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2">
        <v>4</v>
      </c>
      <c r="T93" s="42">
        <v>5</v>
      </c>
      <c r="U93" s="42">
        <v>6</v>
      </c>
      <c r="V93" s="42">
        <v>6</v>
      </c>
      <c r="W93" s="42">
        <v>6</v>
      </c>
      <c r="X93" s="26">
        <f t="shared" si="5"/>
        <v>27</v>
      </c>
      <c r="Y93" s="70">
        <v>17</v>
      </c>
      <c r="Z93" s="51">
        <v>3</v>
      </c>
      <c r="AA93" s="51">
        <v>4</v>
      </c>
      <c r="AB93" s="51">
        <v>4</v>
      </c>
      <c r="AC93" s="26">
        <f t="shared" si="6"/>
        <v>11</v>
      </c>
      <c r="AD93" s="25">
        <v>5</v>
      </c>
      <c r="AE93" s="28">
        <f t="shared" si="7"/>
        <v>60</v>
      </c>
    </row>
    <row r="94" spans="2:31" ht="15.6" x14ac:dyDescent="0.3">
      <c r="B94" s="8">
        <v>80</v>
      </c>
      <c r="C94" s="48" t="s">
        <v>118</v>
      </c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2">
        <v>4</v>
      </c>
      <c r="T94" s="42">
        <v>4</v>
      </c>
      <c r="U94" s="42">
        <v>3</v>
      </c>
      <c r="V94" s="42">
        <v>5</v>
      </c>
      <c r="W94" s="42">
        <v>5</v>
      </c>
      <c r="X94" s="26">
        <f t="shared" si="5"/>
        <v>21</v>
      </c>
      <c r="Y94" s="70">
        <v>19</v>
      </c>
      <c r="Z94" s="51">
        <v>6</v>
      </c>
      <c r="AA94" s="51">
        <v>1</v>
      </c>
      <c r="AB94" s="51">
        <v>0</v>
      </c>
      <c r="AC94" s="26">
        <f t="shared" si="6"/>
        <v>7</v>
      </c>
      <c r="AD94" s="69">
        <v>5</v>
      </c>
      <c r="AE94" s="28">
        <f t="shared" si="7"/>
        <v>52</v>
      </c>
    </row>
    <row r="95" spans="2:31" ht="15.6" x14ac:dyDescent="0.3">
      <c r="B95" s="8">
        <v>81</v>
      </c>
      <c r="C95" s="48" t="s">
        <v>119</v>
      </c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2">
        <v>4</v>
      </c>
      <c r="T95" s="42">
        <v>4</v>
      </c>
      <c r="U95" s="42">
        <v>5</v>
      </c>
      <c r="V95" s="42">
        <v>5</v>
      </c>
      <c r="W95" s="42">
        <v>5</v>
      </c>
      <c r="X95" s="26">
        <f t="shared" si="5"/>
        <v>23</v>
      </c>
      <c r="Y95" s="70">
        <v>17</v>
      </c>
      <c r="Z95" s="51">
        <v>8</v>
      </c>
      <c r="AA95" s="51">
        <v>8</v>
      </c>
      <c r="AB95" s="51">
        <v>3</v>
      </c>
      <c r="AC95" s="26">
        <f t="shared" si="6"/>
        <v>19</v>
      </c>
      <c r="AD95" s="25">
        <v>5</v>
      </c>
      <c r="AE95" s="28">
        <f t="shared" si="7"/>
        <v>64</v>
      </c>
    </row>
    <row r="96" spans="2:31" ht="15.6" x14ac:dyDescent="0.3">
      <c r="B96" s="8">
        <v>82</v>
      </c>
      <c r="C96" s="48" t="s">
        <v>120</v>
      </c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2">
        <v>4</v>
      </c>
      <c r="T96" s="42">
        <v>5</v>
      </c>
      <c r="U96" s="42">
        <v>4</v>
      </c>
      <c r="V96" s="42">
        <v>5</v>
      </c>
      <c r="W96" s="42">
        <v>6</v>
      </c>
      <c r="X96" s="26">
        <f t="shared" si="5"/>
        <v>24</v>
      </c>
      <c r="Y96" s="70">
        <v>9</v>
      </c>
      <c r="Z96" s="51">
        <v>6</v>
      </c>
      <c r="AA96" s="51">
        <v>6</v>
      </c>
      <c r="AB96" s="51">
        <v>1</v>
      </c>
      <c r="AC96" s="26">
        <f t="shared" si="6"/>
        <v>13</v>
      </c>
      <c r="AD96" s="69">
        <v>5</v>
      </c>
      <c r="AE96" s="28">
        <f t="shared" si="7"/>
        <v>51</v>
      </c>
    </row>
    <row r="97" spans="2:31" ht="15.6" x14ac:dyDescent="0.3">
      <c r="B97" s="8">
        <v>83</v>
      </c>
      <c r="C97" s="48" t="s">
        <v>121</v>
      </c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2">
        <v>4</v>
      </c>
      <c r="T97" s="42">
        <v>6</v>
      </c>
      <c r="U97" s="42">
        <v>6</v>
      </c>
      <c r="V97" s="42">
        <v>6</v>
      </c>
      <c r="W97" s="42">
        <v>6</v>
      </c>
      <c r="X97" s="26">
        <f t="shared" si="5"/>
        <v>28</v>
      </c>
      <c r="Y97" s="70">
        <v>18</v>
      </c>
      <c r="Z97" s="51">
        <v>6</v>
      </c>
      <c r="AA97" s="51">
        <v>8</v>
      </c>
      <c r="AB97" s="51">
        <v>3</v>
      </c>
      <c r="AC97" s="26">
        <f t="shared" si="6"/>
        <v>17</v>
      </c>
      <c r="AD97" s="25">
        <v>5</v>
      </c>
      <c r="AE97" s="28">
        <f t="shared" si="7"/>
        <v>68</v>
      </c>
    </row>
    <row r="98" spans="2:31" ht="15.6" x14ac:dyDescent="0.3">
      <c r="B98" s="8">
        <v>84</v>
      </c>
      <c r="C98" s="48" t="s">
        <v>122</v>
      </c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2">
        <v>4</v>
      </c>
      <c r="T98" s="42">
        <v>5</v>
      </c>
      <c r="U98" s="42">
        <v>4</v>
      </c>
      <c r="V98" s="42">
        <v>6</v>
      </c>
      <c r="W98" s="42">
        <v>6</v>
      </c>
      <c r="X98" s="26">
        <f t="shared" si="5"/>
        <v>25</v>
      </c>
      <c r="Y98" s="70">
        <v>18</v>
      </c>
      <c r="Z98" s="51">
        <v>8</v>
      </c>
      <c r="AA98" s="51">
        <v>2</v>
      </c>
      <c r="AB98" s="51">
        <v>4</v>
      </c>
      <c r="AC98" s="26">
        <f t="shared" si="6"/>
        <v>14</v>
      </c>
      <c r="AD98" s="69">
        <v>5</v>
      </c>
      <c r="AE98" s="28">
        <f t="shared" si="7"/>
        <v>62</v>
      </c>
    </row>
    <row r="99" spans="2:31" ht="15.6" x14ac:dyDescent="0.3">
      <c r="B99" s="8">
        <v>85</v>
      </c>
      <c r="C99" s="48" t="s">
        <v>123</v>
      </c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2">
        <v>4</v>
      </c>
      <c r="T99" s="42">
        <v>7</v>
      </c>
      <c r="U99" s="42">
        <v>6</v>
      </c>
      <c r="V99" s="42">
        <v>6</v>
      </c>
      <c r="W99" s="42">
        <v>6</v>
      </c>
      <c r="X99" s="26">
        <f t="shared" si="5"/>
        <v>29</v>
      </c>
      <c r="Y99" s="70">
        <v>15</v>
      </c>
      <c r="Z99" s="51">
        <v>7</v>
      </c>
      <c r="AA99" s="51">
        <v>6</v>
      </c>
      <c r="AB99" s="51">
        <v>4</v>
      </c>
      <c r="AC99" s="26">
        <f t="shared" si="6"/>
        <v>17</v>
      </c>
      <c r="AD99" s="25">
        <v>5</v>
      </c>
      <c r="AE99" s="28">
        <f t="shared" si="7"/>
        <v>66</v>
      </c>
    </row>
    <row r="100" spans="2:31" ht="15.6" x14ac:dyDescent="0.3">
      <c r="B100" s="8">
        <v>86</v>
      </c>
      <c r="C100" s="48" t="s">
        <v>124</v>
      </c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2">
        <v>4</v>
      </c>
      <c r="T100" s="42">
        <v>5</v>
      </c>
      <c r="U100" s="42">
        <v>4</v>
      </c>
      <c r="V100" s="42">
        <v>6</v>
      </c>
      <c r="W100" s="42">
        <v>6</v>
      </c>
      <c r="X100" s="26">
        <f t="shared" si="5"/>
        <v>25</v>
      </c>
      <c r="Y100" s="70">
        <v>18</v>
      </c>
      <c r="Z100" s="51">
        <v>6</v>
      </c>
      <c r="AA100" s="51">
        <v>7</v>
      </c>
      <c r="AB100" s="51">
        <v>3</v>
      </c>
      <c r="AC100" s="26">
        <f t="shared" si="6"/>
        <v>16</v>
      </c>
      <c r="AD100" s="69">
        <v>5</v>
      </c>
      <c r="AE100" s="28">
        <f t="shared" si="7"/>
        <v>64</v>
      </c>
    </row>
    <row r="101" spans="2:31" ht="15.6" x14ac:dyDescent="0.3">
      <c r="B101" s="8">
        <v>87</v>
      </c>
      <c r="C101" s="48" t="s">
        <v>125</v>
      </c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2">
        <v>4</v>
      </c>
      <c r="T101" s="42">
        <v>1</v>
      </c>
      <c r="U101" s="42">
        <v>4</v>
      </c>
      <c r="V101" s="42">
        <v>4</v>
      </c>
      <c r="W101" s="42">
        <v>4</v>
      </c>
      <c r="X101" s="26">
        <f t="shared" si="5"/>
        <v>17</v>
      </c>
      <c r="Y101" s="70">
        <v>6</v>
      </c>
      <c r="Z101" s="51">
        <v>2</v>
      </c>
      <c r="AA101" s="51">
        <v>4</v>
      </c>
      <c r="AB101" s="51">
        <v>0</v>
      </c>
      <c r="AC101" s="26">
        <f t="shared" si="6"/>
        <v>6</v>
      </c>
      <c r="AD101" s="25">
        <v>5</v>
      </c>
      <c r="AE101" s="28">
        <f t="shared" si="7"/>
        <v>34</v>
      </c>
    </row>
    <row r="102" spans="2:31" ht="15.6" x14ac:dyDescent="0.3">
      <c r="B102" s="8">
        <v>88</v>
      </c>
      <c r="C102" s="48" t="s">
        <v>126</v>
      </c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2">
        <v>4</v>
      </c>
      <c r="T102" s="42">
        <v>2</v>
      </c>
      <c r="U102" s="42">
        <v>2</v>
      </c>
      <c r="V102" s="42">
        <v>4</v>
      </c>
      <c r="W102" s="42">
        <v>3</v>
      </c>
      <c r="X102" s="26">
        <f t="shared" si="5"/>
        <v>15</v>
      </c>
      <c r="Y102" s="70">
        <v>15</v>
      </c>
      <c r="Z102" s="51">
        <v>1</v>
      </c>
      <c r="AA102" s="51">
        <v>0</v>
      </c>
      <c r="AB102" s="51"/>
      <c r="AC102" s="26">
        <f t="shared" si="6"/>
        <v>1</v>
      </c>
      <c r="AD102" s="69">
        <v>5</v>
      </c>
      <c r="AE102" s="28">
        <f t="shared" si="7"/>
        <v>36</v>
      </c>
    </row>
    <row r="103" spans="2:31" ht="15.6" x14ac:dyDescent="0.3">
      <c r="B103" s="8">
        <v>89</v>
      </c>
      <c r="C103" s="48" t="s">
        <v>127</v>
      </c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2">
        <v>4</v>
      </c>
      <c r="T103" s="42">
        <v>6</v>
      </c>
      <c r="U103" s="42">
        <v>6</v>
      </c>
      <c r="V103" s="42">
        <v>5</v>
      </c>
      <c r="W103" s="42">
        <v>5</v>
      </c>
      <c r="X103" s="26">
        <f t="shared" si="5"/>
        <v>26</v>
      </c>
      <c r="Y103" s="70">
        <v>15</v>
      </c>
      <c r="Z103" s="51">
        <v>6</v>
      </c>
      <c r="AA103" s="51">
        <v>7</v>
      </c>
      <c r="AB103" s="51">
        <v>3</v>
      </c>
      <c r="AC103" s="26">
        <f t="shared" si="6"/>
        <v>16</v>
      </c>
      <c r="AD103" s="25">
        <v>5</v>
      </c>
      <c r="AE103" s="28">
        <f t="shared" si="7"/>
        <v>62</v>
      </c>
    </row>
    <row r="104" spans="2:31" ht="15.6" x14ac:dyDescent="0.3">
      <c r="B104" s="8">
        <v>90</v>
      </c>
      <c r="C104" s="48" t="s">
        <v>128</v>
      </c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2">
        <v>4</v>
      </c>
      <c r="T104" s="42">
        <v>4</v>
      </c>
      <c r="U104" s="42">
        <v>2</v>
      </c>
      <c r="V104" s="42">
        <v>0</v>
      </c>
      <c r="W104" s="42">
        <v>0</v>
      </c>
      <c r="X104" s="26">
        <f t="shared" si="5"/>
        <v>10</v>
      </c>
      <c r="Y104" s="70">
        <v>17</v>
      </c>
      <c r="Z104" s="51">
        <v>8</v>
      </c>
      <c r="AA104" s="51">
        <v>5</v>
      </c>
      <c r="AB104" s="51">
        <v>0</v>
      </c>
      <c r="AC104" s="26">
        <f t="shared" si="6"/>
        <v>13</v>
      </c>
      <c r="AD104" s="69">
        <v>5</v>
      </c>
      <c r="AE104" s="28">
        <f t="shared" si="7"/>
        <v>45</v>
      </c>
    </row>
    <row r="105" spans="2:31" ht="15.6" x14ac:dyDescent="0.3">
      <c r="B105" s="8">
        <v>91</v>
      </c>
      <c r="C105" s="48" t="s">
        <v>129</v>
      </c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2">
        <v>3</v>
      </c>
      <c r="T105" s="42">
        <v>2</v>
      </c>
      <c r="U105" s="42"/>
      <c r="V105" s="42">
        <v>0</v>
      </c>
      <c r="W105" s="42">
        <v>0</v>
      </c>
      <c r="X105" s="26">
        <f t="shared" si="5"/>
        <v>5</v>
      </c>
      <c r="Y105" s="70">
        <v>18</v>
      </c>
      <c r="Z105" s="51">
        <v>4</v>
      </c>
      <c r="AA105" s="51">
        <v>4</v>
      </c>
      <c r="AB105" s="51"/>
      <c r="AC105" s="26">
        <f t="shared" si="6"/>
        <v>8</v>
      </c>
      <c r="AD105" s="25">
        <v>5</v>
      </c>
      <c r="AE105" s="28">
        <f t="shared" si="7"/>
        <v>36</v>
      </c>
    </row>
    <row r="106" spans="2:31" ht="15.6" x14ac:dyDescent="0.3">
      <c r="B106" s="8">
        <v>92</v>
      </c>
      <c r="C106" s="48" t="s">
        <v>130</v>
      </c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2">
        <v>4</v>
      </c>
      <c r="T106" s="42">
        <v>6</v>
      </c>
      <c r="U106" s="42">
        <v>6</v>
      </c>
      <c r="V106" s="42">
        <v>6</v>
      </c>
      <c r="W106" s="42">
        <v>6</v>
      </c>
      <c r="X106" s="26">
        <f t="shared" si="5"/>
        <v>28</v>
      </c>
      <c r="Y106" s="70">
        <v>14</v>
      </c>
      <c r="Z106" s="51">
        <v>8</v>
      </c>
      <c r="AA106" s="51">
        <v>8</v>
      </c>
      <c r="AB106" s="51">
        <v>4</v>
      </c>
      <c r="AC106" s="26">
        <f t="shared" si="6"/>
        <v>20</v>
      </c>
      <c r="AD106" s="69">
        <v>5</v>
      </c>
      <c r="AE106" s="28">
        <f t="shared" si="7"/>
        <v>67</v>
      </c>
    </row>
    <row r="107" spans="2:31" ht="15.6" x14ac:dyDescent="0.3">
      <c r="B107" s="8">
        <v>93</v>
      </c>
      <c r="C107" s="48" t="s">
        <v>131</v>
      </c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2">
        <v>4</v>
      </c>
      <c r="T107" s="42">
        <v>6</v>
      </c>
      <c r="U107" s="42">
        <v>5</v>
      </c>
      <c r="V107" s="42">
        <v>6</v>
      </c>
      <c r="W107" s="42">
        <v>6</v>
      </c>
      <c r="X107" s="26">
        <f t="shared" si="5"/>
        <v>27</v>
      </c>
      <c r="Y107" s="70">
        <v>18</v>
      </c>
      <c r="Z107" s="51">
        <v>4</v>
      </c>
      <c r="AA107" s="51">
        <v>7</v>
      </c>
      <c r="AB107" s="51">
        <v>4</v>
      </c>
      <c r="AC107" s="26">
        <f t="shared" si="6"/>
        <v>15</v>
      </c>
      <c r="AD107" s="25">
        <v>5</v>
      </c>
      <c r="AE107" s="28">
        <f t="shared" si="7"/>
        <v>65</v>
      </c>
    </row>
    <row r="108" spans="2:31" ht="15.6" x14ac:dyDescent="0.3">
      <c r="B108" s="8">
        <v>94</v>
      </c>
      <c r="C108" s="48" t="s">
        <v>132</v>
      </c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2">
        <v>4</v>
      </c>
      <c r="T108" s="42">
        <v>6</v>
      </c>
      <c r="U108" s="42">
        <v>5</v>
      </c>
      <c r="V108" s="42">
        <v>6</v>
      </c>
      <c r="W108" s="42">
        <v>6</v>
      </c>
      <c r="X108" s="26">
        <f t="shared" si="5"/>
        <v>27</v>
      </c>
      <c r="Y108" s="70">
        <v>13</v>
      </c>
      <c r="Z108" s="51">
        <v>2</v>
      </c>
      <c r="AA108" s="51">
        <v>7</v>
      </c>
      <c r="AB108" s="51">
        <v>3</v>
      </c>
      <c r="AC108" s="26">
        <f t="shared" si="6"/>
        <v>12</v>
      </c>
      <c r="AD108" s="69">
        <v>5</v>
      </c>
      <c r="AE108" s="28">
        <f t="shared" si="7"/>
        <v>57</v>
      </c>
    </row>
    <row r="109" spans="2:31" ht="15.6" x14ac:dyDescent="0.3">
      <c r="B109" s="8">
        <v>95</v>
      </c>
      <c r="C109" s="48" t="s">
        <v>133</v>
      </c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2">
        <v>4</v>
      </c>
      <c r="T109" s="42">
        <v>4</v>
      </c>
      <c r="U109" s="42">
        <v>6</v>
      </c>
      <c r="V109" s="42">
        <v>6</v>
      </c>
      <c r="W109" s="42">
        <v>6</v>
      </c>
      <c r="X109" s="26">
        <f t="shared" si="5"/>
        <v>26</v>
      </c>
      <c r="Y109" s="70">
        <v>17</v>
      </c>
      <c r="Z109" s="51">
        <v>8</v>
      </c>
      <c r="AA109" s="51">
        <v>7</v>
      </c>
      <c r="AB109" s="51">
        <v>3</v>
      </c>
      <c r="AC109" s="26">
        <f t="shared" si="6"/>
        <v>18</v>
      </c>
      <c r="AD109" s="25">
        <v>5</v>
      </c>
      <c r="AE109" s="28">
        <f t="shared" si="7"/>
        <v>66</v>
      </c>
    </row>
    <row r="110" spans="2:31" ht="15.6" x14ac:dyDescent="0.3">
      <c r="B110" s="8">
        <v>96</v>
      </c>
      <c r="C110" s="48" t="s">
        <v>134</v>
      </c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2">
        <v>4</v>
      </c>
      <c r="T110" s="42">
        <v>4</v>
      </c>
      <c r="U110" s="42">
        <v>3</v>
      </c>
      <c r="V110" s="42">
        <v>6</v>
      </c>
      <c r="W110" s="42">
        <v>4</v>
      </c>
      <c r="X110" s="26">
        <f t="shared" si="5"/>
        <v>21</v>
      </c>
      <c r="Y110" s="70">
        <v>18</v>
      </c>
      <c r="Z110" s="51">
        <v>3</v>
      </c>
      <c r="AA110" s="51">
        <v>7</v>
      </c>
      <c r="AB110" s="51">
        <v>0</v>
      </c>
      <c r="AC110" s="26">
        <f t="shared" si="6"/>
        <v>10</v>
      </c>
      <c r="AD110" s="69">
        <v>5</v>
      </c>
      <c r="AE110" s="28">
        <f t="shared" si="7"/>
        <v>54</v>
      </c>
    </row>
    <row r="111" spans="2:31" ht="15.6" x14ac:dyDescent="0.3">
      <c r="B111" s="8">
        <v>97</v>
      </c>
      <c r="C111" s="48" t="s">
        <v>135</v>
      </c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2">
        <v>4</v>
      </c>
      <c r="T111" s="42">
        <v>3</v>
      </c>
      <c r="U111" s="42">
        <v>2</v>
      </c>
      <c r="V111" s="42">
        <v>4</v>
      </c>
      <c r="W111" s="42">
        <v>4</v>
      </c>
      <c r="X111" s="26">
        <f t="shared" si="5"/>
        <v>17</v>
      </c>
      <c r="Y111" s="70">
        <v>16</v>
      </c>
      <c r="Z111" s="51">
        <v>4</v>
      </c>
      <c r="AA111" s="51">
        <v>7</v>
      </c>
      <c r="AB111" s="51">
        <v>3</v>
      </c>
      <c r="AC111" s="26">
        <f t="shared" si="6"/>
        <v>14</v>
      </c>
      <c r="AD111" s="25">
        <v>5</v>
      </c>
      <c r="AE111" s="28">
        <f t="shared" si="7"/>
        <v>52</v>
      </c>
    </row>
    <row r="112" spans="2:31" ht="15.6" x14ac:dyDescent="0.3">
      <c r="B112" s="8">
        <v>98</v>
      </c>
      <c r="C112" s="48" t="s">
        <v>136</v>
      </c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2">
        <v>3</v>
      </c>
      <c r="T112" s="42">
        <v>4</v>
      </c>
      <c r="U112" s="42">
        <v>2</v>
      </c>
      <c r="V112" s="42">
        <v>4</v>
      </c>
      <c r="W112" s="42">
        <v>4</v>
      </c>
      <c r="X112" s="26">
        <f t="shared" si="5"/>
        <v>17</v>
      </c>
      <c r="Y112" s="70">
        <v>16</v>
      </c>
      <c r="Z112" s="51">
        <v>4</v>
      </c>
      <c r="AA112" s="51">
        <v>7</v>
      </c>
      <c r="AB112" s="51">
        <v>3</v>
      </c>
      <c r="AC112" s="26">
        <f t="shared" si="6"/>
        <v>14</v>
      </c>
      <c r="AD112" s="69">
        <v>5</v>
      </c>
      <c r="AE112" s="28">
        <f t="shared" si="7"/>
        <v>52</v>
      </c>
    </row>
    <row r="113" spans="2:31" ht="15.6" x14ac:dyDescent="0.3">
      <c r="B113" s="8">
        <v>99</v>
      </c>
      <c r="C113" s="48" t="s">
        <v>137</v>
      </c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2">
        <v>3</v>
      </c>
      <c r="T113" s="42">
        <v>4</v>
      </c>
      <c r="U113" s="42">
        <v>2</v>
      </c>
      <c r="V113" s="42">
        <v>4</v>
      </c>
      <c r="W113" s="42">
        <v>4</v>
      </c>
      <c r="X113" s="26">
        <f t="shared" si="5"/>
        <v>17</v>
      </c>
      <c r="Y113" s="70">
        <v>17</v>
      </c>
      <c r="Z113" s="51">
        <v>3</v>
      </c>
      <c r="AA113" s="51">
        <v>6</v>
      </c>
      <c r="AB113" s="51">
        <v>2</v>
      </c>
      <c r="AC113" s="26">
        <f t="shared" si="6"/>
        <v>11</v>
      </c>
      <c r="AD113" s="25">
        <v>5</v>
      </c>
      <c r="AE113" s="28">
        <f t="shared" si="7"/>
        <v>50</v>
      </c>
    </row>
    <row r="114" spans="2:31" ht="15.6" x14ac:dyDescent="0.3">
      <c r="B114" s="8">
        <v>100</v>
      </c>
      <c r="C114" s="48" t="s">
        <v>138</v>
      </c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2">
        <v>4</v>
      </c>
      <c r="T114" s="42">
        <v>4</v>
      </c>
      <c r="U114" s="42">
        <v>2</v>
      </c>
      <c r="V114" s="42">
        <v>6</v>
      </c>
      <c r="W114" s="42">
        <v>6</v>
      </c>
      <c r="X114" s="26">
        <f t="shared" si="5"/>
        <v>22</v>
      </c>
      <c r="Y114" s="70">
        <v>14</v>
      </c>
      <c r="Z114" s="51">
        <v>3</v>
      </c>
      <c r="AA114" s="51">
        <v>7</v>
      </c>
      <c r="AB114" s="51">
        <v>2</v>
      </c>
      <c r="AC114" s="26">
        <f t="shared" si="6"/>
        <v>12</v>
      </c>
      <c r="AD114" s="69">
        <v>5</v>
      </c>
      <c r="AE114" s="28">
        <f t="shared" si="7"/>
        <v>53</v>
      </c>
    </row>
    <row r="115" spans="2:31" ht="15.6" x14ac:dyDescent="0.3">
      <c r="B115" s="8">
        <v>101</v>
      </c>
      <c r="C115" s="48" t="s">
        <v>139</v>
      </c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2">
        <v>4</v>
      </c>
      <c r="T115" s="42">
        <v>4</v>
      </c>
      <c r="U115" s="42">
        <v>3</v>
      </c>
      <c r="V115" s="42">
        <v>4</v>
      </c>
      <c r="W115" s="42">
        <v>6</v>
      </c>
      <c r="X115" s="26">
        <f t="shared" si="5"/>
        <v>21</v>
      </c>
      <c r="Y115" s="70">
        <v>14</v>
      </c>
      <c r="Z115" s="51">
        <v>4</v>
      </c>
      <c r="AA115" s="51">
        <v>7</v>
      </c>
      <c r="AB115" s="51">
        <v>3</v>
      </c>
      <c r="AC115" s="26">
        <f t="shared" si="6"/>
        <v>14</v>
      </c>
      <c r="AD115" s="25">
        <v>5</v>
      </c>
      <c r="AE115" s="28">
        <f t="shared" si="7"/>
        <v>54</v>
      </c>
    </row>
    <row r="116" spans="2:31" ht="15.6" x14ac:dyDescent="0.3">
      <c r="B116" s="8">
        <v>102</v>
      </c>
      <c r="C116" s="48" t="s">
        <v>140</v>
      </c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2">
        <v>3</v>
      </c>
      <c r="T116" s="42">
        <v>3</v>
      </c>
      <c r="U116" s="42">
        <v>2</v>
      </c>
      <c r="V116" s="42">
        <v>4</v>
      </c>
      <c r="W116" s="42">
        <v>0</v>
      </c>
      <c r="X116" s="26">
        <f t="shared" si="5"/>
        <v>12</v>
      </c>
      <c r="Y116" s="70">
        <v>17</v>
      </c>
      <c r="Z116" s="51">
        <v>0</v>
      </c>
      <c r="AA116" s="51">
        <v>2</v>
      </c>
      <c r="AB116" s="51">
        <v>2</v>
      </c>
      <c r="AC116" s="26">
        <f t="shared" si="6"/>
        <v>4</v>
      </c>
      <c r="AD116" s="69">
        <v>5</v>
      </c>
      <c r="AE116" s="28">
        <f t="shared" si="7"/>
        <v>38</v>
      </c>
    </row>
    <row r="117" spans="2:31" ht="15.6" x14ac:dyDescent="0.3">
      <c r="B117" s="8">
        <v>103</v>
      </c>
      <c r="C117" s="48" t="s">
        <v>141</v>
      </c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2">
        <v>4</v>
      </c>
      <c r="T117" s="42">
        <v>6</v>
      </c>
      <c r="U117" s="42">
        <v>6</v>
      </c>
      <c r="V117" s="42">
        <v>6</v>
      </c>
      <c r="W117" s="42">
        <v>6</v>
      </c>
      <c r="X117" s="26">
        <f t="shared" si="5"/>
        <v>28</v>
      </c>
      <c r="Y117" s="70">
        <v>17</v>
      </c>
      <c r="Z117" s="51">
        <v>6</v>
      </c>
      <c r="AA117" s="51">
        <v>8</v>
      </c>
      <c r="AB117" s="51">
        <v>4</v>
      </c>
      <c r="AC117" s="26">
        <f t="shared" si="6"/>
        <v>18</v>
      </c>
      <c r="AD117" s="25">
        <v>5</v>
      </c>
      <c r="AE117" s="28">
        <f t="shared" si="7"/>
        <v>68</v>
      </c>
    </row>
    <row r="118" spans="2:31" ht="15.6" x14ac:dyDescent="0.3">
      <c r="B118" s="8">
        <v>104</v>
      </c>
      <c r="C118" s="48" t="s">
        <v>142</v>
      </c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2">
        <v>4</v>
      </c>
      <c r="T118" s="42">
        <v>7</v>
      </c>
      <c r="U118" s="42">
        <v>4</v>
      </c>
      <c r="V118" s="42">
        <v>5</v>
      </c>
      <c r="W118" s="42">
        <v>5</v>
      </c>
      <c r="X118" s="26">
        <f t="shared" si="5"/>
        <v>25</v>
      </c>
      <c r="Y118" s="70">
        <v>17</v>
      </c>
      <c r="Z118" s="51">
        <v>4</v>
      </c>
      <c r="AA118" s="51">
        <v>7</v>
      </c>
      <c r="AB118" s="51">
        <v>0</v>
      </c>
      <c r="AC118" s="26">
        <f t="shared" si="6"/>
        <v>11</v>
      </c>
      <c r="AD118" s="69">
        <v>5</v>
      </c>
      <c r="AE118" s="28">
        <f t="shared" si="7"/>
        <v>58</v>
      </c>
    </row>
    <row r="119" spans="2:31" ht="15.6" x14ac:dyDescent="0.3">
      <c r="B119" s="8">
        <v>105</v>
      </c>
      <c r="C119" s="48" t="s">
        <v>143</v>
      </c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2">
        <v>4</v>
      </c>
      <c r="T119" s="42">
        <v>4</v>
      </c>
      <c r="U119" s="42">
        <v>4</v>
      </c>
      <c r="V119" s="42">
        <v>5</v>
      </c>
      <c r="W119" s="42">
        <v>4</v>
      </c>
      <c r="X119" s="26">
        <f t="shared" si="5"/>
        <v>21</v>
      </c>
      <c r="Y119" s="70">
        <v>13</v>
      </c>
      <c r="Z119" s="51">
        <v>3</v>
      </c>
      <c r="AA119" s="51">
        <v>2</v>
      </c>
      <c r="AB119" s="51">
        <v>0</v>
      </c>
      <c r="AC119" s="26">
        <f t="shared" si="6"/>
        <v>5</v>
      </c>
      <c r="AD119" s="25">
        <v>5</v>
      </c>
      <c r="AE119" s="28">
        <f t="shared" si="7"/>
        <v>44</v>
      </c>
    </row>
    <row r="120" spans="2:31" ht="15.6" x14ac:dyDescent="0.3">
      <c r="B120" s="8">
        <v>106</v>
      </c>
      <c r="C120" s="48" t="s">
        <v>144</v>
      </c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2">
        <v>4</v>
      </c>
      <c r="T120" s="42">
        <v>5</v>
      </c>
      <c r="U120" s="42">
        <v>4</v>
      </c>
      <c r="V120" s="42">
        <v>6</v>
      </c>
      <c r="W120" s="42">
        <v>6</v>
      </c>
      <c r="X120" s="26">
        <f t="shared" si="5"/>
        <v>25</v>
      </c>
      <c r="Y120" s="70">
        <v>14</v>
      </c>
      <c r="Z120" s="51">
        <v>8</v>
      </c>
      <c r="AA120" s="51">
        <v>8</v>
      </c>
      <c r="AB120" s="51">
        <v>4</v>
      </c>
      <c r="AC120" s="26">
        <f t="shared" si="6"/>
        <v>20</v>
      </c>
      <c r="AD120" s="69">
        <v>5</v>
      </c>
      <c r="AE120" s="28">
        <f t="shared" si="7"/>
        <v>64</v>
      </c>
    </row>
    <row r="121" spans="2:31" ht="15.6" x14ac:dyDescent="0.3">
      <c r="B121" s="8">
        <v>107</v>
      </c>
      <c r="C121" s="48" t="s">
        <v>145</v>
      </c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2">
        <v>4</v>
      </c>
      <c r="T121" s="42">
        <v>5</v>
      </c>
      <c r="U121" s="42">
        <v>5</v>
      </c>
      <c r="V121" s="42">
        <v>4</v>
      </c>
      <c r="W121" s="42">
        <v>5</v>
      </c>
      <c r="X121" s="26">
        <f t="shared" si="5"/>
        <v>23</v>
      </c>
      <c r="Y121" s="70">
        <v>13</v>
      </c>
      <c r="Z121" s="51">
        <v>8</v>
      </c>
      <c r="AA121" s="51">
        <v>8</v>
      </c>
      <c r="AB121" s="51">
        <v>4</v>
      </c>
      <c r="AC121" s="26">
        <f t="shared" si="6"/>
        <v>20</v>
      </c>
      <c r="AD121" s="25">
        <v>5</v>
      </c>
      <c r="AE121" s="28">
        <f t="shared" si="7"/>
        <v>61</v>
      </c>
    </row>
    <row r="122" spans="2:31" ht="15.6" x14ac:dyDescent="0.3">
      <c r="B122" s="8">
        <v>108</v>
      </c>
      <c r="C122" s="48" t="s">
        <v>146</v>
      </c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2">
        <v>4</v>
      </c>
      <c r="T122" s="42">
        <v>5</v>
      </c>
      <c r="U122" s="42">
        <v>4</v>
      </c>
      <c r="V122" s="42">
        <v>4</v>
      </c>
      <c r="W122" s="42">
        <v>2</v>
      </c>
      <c r="X122" s="26">
        <f t="shared" si="5"/>
        <v>19</v>
      </c>
      <c r="Y122" s="70">
        <v>20</v>
      </c>
      <c r="Z122" s="51">
        <v>8</v>
      </c>
      <c r="AA122" s="51">
        <v>8</v>
      </c>
      <c r="AB122" s="51">
        <v>3</v>
      </c>
      <c r="AC122" s="26">
        <f t="shared" si="6"/>
        <v>19</v>
      </c>
      <c r="AD122" s="69">
        <v>5</v>
      </c>
      <c r="AE122" s="28">
        <f t="shared" si="7"/>
        <v>63</v>
      </c>
    </row>
    <row r="123" spans="2:31" ht="15.6" x14ac:dyDescent="0.3">
      <c r="B123" s="8">
        <v>109</v>
      </c>
      <c r="C123" s="48" t="s">
        <v>147</v>
      </c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2">
        <v>4</v>
      </c>
      <c r="T123" s="42">
        <v>6</v>
      </c>
      <c r="U123" s="42">
        <v>6</v>
      </c>
      <c r="V123" s="42">
        <v>6</v>
      </c>
      <c r="W123" s="42">
        <v>5</v>
      </c>
      <c r="X123" s="26">
        <f t="shared" si="5"/>
        <v>27</v>
      </c>
      <c r="Y123" s="70">
        <v>14</v>
      </c>
      <c r="Z123" s="51">
        <v>4</v>
      </c>
      <c r="AA123" s="51">
        <v>6</v>
      </c>
      <c r="AB123" s="51">
        <v>3</v>
      </c>
      <c r="AC123" s="26">
        <f t="shared" si="6"/>
        <v>13</v>
      </c>
      <c r="AD123" s="25">
        <v>5</v>
      </c>
      <c r="AE123" s="28">
        <f t="shared" si="7"/>
        <v>59</v>
      </c>
    </row>
    <row r="124" spans="2:31" ht="15.6" x14ac:dyDescent="0.3">
      <c r="B124" s="8">
        <v>110</v>
      </c>
      <c r="C124" s="48" t="s">
        <v>148</v>
      </c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2">
        <v>3</v>
      </c>
      <c r="T124" s="42">
        <v>4</v>
      </c>
      <c r="U124" s="42">
        <v>3</v>
      </c>
      <c r="V124" s="42">
        <v>3</v>
      </c>
      <c r="W124" s="42">
        <v>4</v>
      </c>
      <c r="X124" s="26">
        <f t="shared" si="5"/>
        <v>17</v>
      </c>
      <c r="Y124" s="70">
        <v>15</v>
      </c>
      <c r="Z124" s="51">
        <v>2</v>
      </c>
      <c r="AA124" s="51">
        <v>7</v>
      </c>
      <c r="AB124" s="51">
        <v>0</v>
      </c>
      <c r="AC124" s="26">
        <f t="shared" si="6"/>
        <v>9</v>
      </c>
      <c r="AD124" s="69">
        <v>5</v>
      </c>
      <c r="AE124" s="28">
        <f t="shared" si="7"/>
        <v>46</v>
      </c>
    </row>
    <row r="125" spans="2:31" ht="15.6" x14ac:dyDescent="0.3">
      <c r="B125" s="8">
        <v>111</v>
      </c>
      <c r="C125" s="48" t="s">
        <v>149</v>
      </c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2">
        <v>1</v>
      </c>
      <c r="T125" s="42">
        <v>4</v>
      </c>
      <c r="U125" s="42">
        <v>3</v>
      </c>
      <c r="V125" s="42">
        <v>0</v>
      </c>
      <c r="W125" s="42">
        <v>0</v>
      </c>
      <c r="X125" s="26">
        <f t="shared" si="5"/>
        <v>8</v>
      </c>
      <c r="Y125" s="70">
        <v>15</v>
      </c>
      <c r="Z125" s="51">
        <v>2</v>
      </c>
      <c r="AA125" s="51">
        <v>6</v>
      </c>
      <c r="AB125" s="51">
        <v>3</v>
      </c>
      <c r="AC125" s="26">
        <f t="shared" si="6"/>
        <v>11</v>
      </c>
      <c r="AD125" s="25">
        <v>5</v>
      </c>
      <c r="AE125" s="28">
        <f t="shared" si="7"/>
        <v>39</v>
      </c>
    </row>
    <row r="126" spans="2:31" ht="15.6" x14ac:dyDescent="0.3">
      <c r="B126" s="8">
        <v>112</v>
      </c>
      <c r="C126" s="48" t="s">
        <v>150</v>
      </c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2">
        <v>4</v>
      </c>
      <c r="T126" s="42">
        <v>6</v>
      </c>
      <c r="U126" s="42">
        <v>5</v>
      </c>
      <c r="V126" s="42">
        <v>6</v>
      </c>
      <c r="W126" s="42">
        <v>3</v>
      </c>
      <c r="X126" s="26">
        <f t="shared" si="5"/>
        <v>24</v>
      </c>
      <c r="Y126" s="70">
        <v>17</v>
      </c>
      <c r="Z126" s="51">
        <v>7</v>
      </c>
      <c r="AA126" s="51">
        <v>6</v>
      </c>
      <c r="AB126" s="51">
        <v>3</v>
      </c>
      <c r="AC126" s="26">
        <f t="shared" si="6"/>
        <v>16</v>
      </c>
      <c r="AD126" s="69">
        <v>5</v>
      </c>
      <c r="AE126" s="28">
        <f t="shared" si="7"/>
        <v>62</v>
      </c>
    </row>
    <row r="127" spans="2:31" ht="15.6" x14ac:dyDescent="0.3">
      <c r="B127" s="8">
        <v>113</v>
      </c>
      <c r="C127" s="48" t="s">
        <v>151</v>
      </c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2">
        <v>4</v>
      </c>
      <c r="T127" s="42">
        <v>6</v>
      </c>
      <c r="U127" s="42">
        <v>5</v>
      </c>
      <c r="V127" s="42">
        <v>6</v>
      </c>
      <c r="W127" s="42">
        <v>6</v>
      </c>
      <c r="X127" s="26">
        <f t="shared" si="5"/>
        <v>27</v>
      </c>
      <c r="Y127" s="70">
        <v>14</v>
      </c>
      <c r="Z127" s="51">
        <v>7</v>
      </c>
      <c r="AA127" s="51">
        <v>8</v>
      </c>
      <c r="AB127" s="51">
        <v>4</v>
      </c>
      <c r="AC127" s="26">
        <f t="shared" si="6"/>
        <v>19</v>
      </c>
      <c r="AD127" s="25">
        <v>5</v>
      </c>
      <c r="AE127" s="28">
        <f t="shared" si="7"/>
        <v>65</v>
      </c>
    </row>
    <row r="128" spans="2:31" ht="15.6" x14ac:dyDescent="0.3">
      <c r="B128" s="8">
        <v>114</v>
      </c>
      <c r="C128" s="48" t="s">
        <v>152</v>
      </c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2">
        <v>2</v>
      </c>
      <c r="T128" s="42">
        <v>2</v>
      </c>
      <c r="U128" s="42">
        <v>3</v>
      </c>
      <c r="V128" s="42">
        <v>4</v>
      </c>
      <c r="W128" s="42">
        <v>2</v>
      </c>
      <c r="X128" s="26">
        <f t="shared" si="5"/>
        <v>13</v>
      </c>
      <c r="Y128" s="70">
        <v>16</v>
      </c>
      <c r="Z128" s="51">
        <v>4</v>
      </c>
      <c r="AA128" s="51">
        <v>6</v>
      </c>
      <c r="AB128" s="51">
        <v>0</v>
      </c>
      <c r="AC128" s="26">
        <f t="shared" si="6"/>
        <v>10</v>
      </c>
      <c r="AD128" s="69">
        <v>5</v>
      </c>
      <c r="AE128" s="28">
        <f t="shared" si="7"/>
        <v>44</v>
      </c>
    </row>
    <row r="129" spans="2:31" ht="15.6" x14ac:dyDescent="0.3">
      <c r="B129" s="8">
        <v>115</v>
      </c>
      <c r="C129" s="48" t="s">
        <v>153</v>
      </c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2">
        <v>4</v>
      </c>
      <c r="T129" s="42">
        <v>3</v>
      </c>
      <c r="U129" s="42">
        <v>5</v>
      </c>
      <c r="V129" s="42">
        <v>2</v>
      </c>
      <c r="W129" s="42">
        <v>4</v>
      </c>
      <c r="X129" s="26">
        <f t="shared" si="5"/>
        <v>18</v>
      </c>
      <c r="Y129" s="70">
        <v>14</v>
      </c>
      <c r="Z129" s="51">
        <v>5</v>
      </c>
      <c r="AA129" s="51">
        <v>4</v>
      </c>
      <c r="AB129" s="51">
        <v>0</v>
      </c>
      <c r="AC129" s="26">
        <f t="shared" si="6"/>
        <v>9</v>
      </c>
      <c r="AD129" s="25">
        <v>5</v>
      </c>
      <c r="AE129" s="28">
        <f t="shared" si="7"/>
        <v>46</v>
      </c>
    </row>
    <row r="130" spans="2:31" ht="15.6" x14ac:dyDescent="0.3">
      <c r="B130" s="8">
        <v>116</v>
      </c>
      <c r="C130" s="48" t="s">
        <v>154</v>
      </c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2">
        <v>3</v>
      </c>
      <c r="T130" s="42">
        <v>1</v>
      </c>
      <c r="U130" s="42">
        <v>4</v>
      </c>
      <c r="V130" s="42">
        <v>6</v>
      </c>
      <c r="W130" s="42">
        <v>6</v>
      </c>
      <c r="X130" s="26">
        <f t="shared" si="5"/>
        <v>20</v>
      </c>
      <c r="Y130" s="70">
        <v>17</v>
      </c>
      <c r="Z130" s="51">
        <v>4</v>
      </c>
      <c r="AA130" s="51">
        <v>7</v>
      </c>
      <c r="AB130" s="51">
        <v>4</v>
      </c>
      <c r="AC130" s="26">
        <f t="shared" si="6"/>
        <v>15</v>
      </c>
      <c r="AD130" s="69">
        <v>5</v>
      </c>
      <c r="AE130" s="28">
        <f t="shared" si="7"/>
        <v>57</v>
      </c>
    </row>
    <row r="131" spans="2:31" ht="15.6" x14ac:dyDescent="0.3">
      <c r="B131" s="8">
        <v>117</v>
      </c>
      <c r="C131" s="48" t="s">
        <v>155</v>
      </c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2">
        <v>4</v>
      </c>
      <c r="T131" s="42"/>
      <c r="U131" s="42">
        <v>2</v>
      </c>
      <c r="V131" s="42">
        <v>0</v>
      </c>
      <c r="W131" s="42"/>
      <c r="X131" s="26">
        <f t="shared" si="5"/>
        <v>6</v>
      </c>
      <c r="Y131" s="70">
        <v>17</v>
      </c>
      <c r="Z131" s="51">
        <v>4</v>
      </c>
      <c r="AA131" s="51">
        <v>2</v>
      </c>
      <c r="AB131" s="51">
        <v>2</v>
      </c>
      <c r="AC131" s="26">
        <f t="shared" si="6"/>
        <v>8</v>
      </c>
      <c r="AD131" s="25">
        <v>5</v>
      </c>
      <c r="AE131" s="28">
        <f t="shared" si="7"/>
        <v>36</v>
      </c>
    </row>
    <row r="132" spans="2:31" ht="15.6" x14ac:dyDescent="0.3">
      <c r="B132" s="8">
        <v>118</v>
      </c>
      <c r="C132" s="48" t="s">
        <v>156</v>
      </c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2">
        <v>4</v>
      </c>
      <c r="T132" s="42"/>
      <c r="U132" s="42">
        <v>2</v>
      </c>
      <c r="V132" s="42"/>
      <c r="W132" s="42"/>
      <c r="X132" s="26">
        <f t="shared" si="5"/>
        <v>6</v>
      </c>
      <c r="Y132" s="70">
        <v>16</v>
      </c>
      <c r="Z132" s="51">
        <v>5</v>
      </c>
      <c r="AA132" s="51">
        <v>0</v>
      </c>
      <c r="AB132" s="51">
        <v>0</v>
      </c>
      <c r="AC132" s="26">
        <f t="shared" si="6"/>
        <v>5</v>
      </c>
      <c r="AD132" s="69">
        <v>5</v>
      </c>
      <c r="AE132" s="28">
        <f t="shared" si="7"/>
        <v>32</v>
      </c>
    </row>
    <row r="133" spans="2:31" ht="15.6" x14ac:dyDescent="0.3">
      <c r="B133" s="8">
        <v>119</v>
      </c>
      <c r="C133" s="48" t="s">
        <v>157</v>
      </c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2"/>
      <c r="T133" s="42">
        <v>0</v>
      </c>
      <c r="U133" s="42"/>
      <c r="V133" s="42">
        <v>0</v>
      </c>
      <c r="W133" s="42"/>
      <c r="X133" s="26">
        <f t="shared" si="5"/>
        <v>0</v>
      </c>
      <c r="Y133" s="70">
        <v>17</v>
      </c>
      <c r="Z133" s="51">
        <v>6</v>
      </c>
      <c r="AA133" s="51">
        <v>1</v>
      </c>
      <c r="AB133" s="51">
        <v>0</v>
      </c>
      <c r="AC133" s="26">
        <f t="shared" si="6"/>
        <v>7</v>
      </c>
      <c r="AD133" s="25">
        <v>5</v>
      </c>
      <c r="AE133" s="28">
        <f t="shared" si="7"/>
        <v>29</v>
      </c>
    </row>
    <row r="134" spans="2:31" ht="15.6" x14ac:dyDescent="0.3">
      <c r="B134" s="8">
        <v>120</v>
      </c>
      <c r="C134" s="48" t="s">
        <v>158</v>
      </c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53">
        <v>4</v>
      </c>
      <c r="T134" s="54">
        <v>6</v>
      </c>
      <c r="U134" s="54">
        <v>4</v>
      </c>
      <c r="V134" s="54">
        <v>6</v>
      </c>
      <c r="W134" s="54">
        <v>6</v>
      </c>
      <c r="X134" s="26">
        <f t="shared" si="5"/>
        <v>26</v>
      </c>
      <c r="Y134" s="70">
        <v>18</v>
      </c>
      <c r="Z134" s="53">
        <v>4</v>
      </c>
      <c r="AA134" s="54">
        <v>8</v>
      </c>
      <c r="AB134" s="54">
        <v>1</v>
      </c>
      <c r="AC134" s="26">
        <f t="shared" si="6"/>
        <v>13</v>
      </c>
      <c r="AD134" s="69">
        <v>5</v>
      </c>
      <c r="AE134" s="28">
        <f t="shared" si="7"/>
        <v>62</v>
      </c>
    </row>
    <row r="135" spans="2:31" ht="15.6" x14ac:dyDescent="0.3">
      <c r="B135" s="8">
        <v>121</v>
      </c>
      <c r="C135" s="48" t="s">
        <v>159</v>
      </c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56">
        <v>4</v>
      </c>
      <c r="T135" s="57">
        <v>5</v>
      </c>
      <c r="U135" s="57">
        <v>4</v>
      </c>
      <c r="V135" s="57">
        <v>6</v>
      </c>
      <c r="W135" s="57">
        <v>6</v>
      </c>
      <c r="X135" s="26">
        <f t="shared" si="5"/>
        <v>25</v>
      </c>
      <c r="Y135" s="70">
        <v>17</v>
      </c>
      <c r="Z135" s="56">
        <v>3</v>
      </c>
      <c r="AA135" s="57">
        <v>8</v>
      </c>
      <c r="AB135" s="57">
        <v>1</v>
      </c>
      <c r="AC135" s="26">
        <f t="shared" si="6"/>
        <v>12</v>
      </c>
      <c r="AD135" s="25">
        <v>5</v>
      </c>
      <c r="AE135" s="28">
        <f t="shared" si="7"/>
        <v>59</v>
      </c>
    </row>
    <row r="136" spans="2:31" ht="15.6" x14ac:dyDescent="0.3">
      <c r="B136" s="8">
        <v>122</v>
      </c>
      <c r="C136" s="48" t="s">
        <v>160</v>
      </c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56">
        <v>4</v>
      </c>
      <c r="T136" s="57">
        <v>3</v>
      </c>
      <c r="U136" s="57">
        <v>4</v>
      </c>
      <c r="V136" s="57">
        <v>3</v>
      </c>
      <c r="W136" s="57">
        <v>3</v>
      </c>
      <c r="X136" s="26">
        <f t="shared" si="5"/>
        <v>17</v>
      </c>
      <c r="Y136" s="70">
        <v>17</v>
      </c>
      <c r="Z136" s="56">
        <v>4</v>
      </c>
      <c r="AA136" s="57">
        <v>6</v>
      </c>
      <c r="AB136" s="57">
        <v>0</v>
      </c>
      <c r="AC136" s="26">
        <f t="shared" si="6"/>
        <v>10</v>
      </c>
      <c r="AD136" s="69">
        <v>5</v>
      </c>
      <c r="AE136" s="28">
        <f t="shared" si="7"/>
        <v>49</v>
      </c>
    </row>
    <row r="137" spans="2:31" ht="15.6" x14ac:dyDescent="0.3">
      <c r="B137" s="8">
        <v>123</v>
      </c>
      <c r="C137" s="48" t="s">
        <v>161</v>
      </c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56">
        <v>4</v>
      </c>
      <c r="T137" s="57">
        <v>5</v>
      </c>
      <c r="U137" s="57">
        <v>6</v>
      </c>
      <c r="V137" s="57">
        <v>6</v>
      </c>
      <c r="W137" s="57">
        <v>6</v>
      </c>
      <c r="X137" s="26">
        <f t="shared" si="5"/>
        <v>27</v>
      </c>
      <c r="Y137" s="70">
        <v>13</v>
      </c>
      <c r="Z137" s="56">
        <v>8</v>
      </c>
      <c r="AA137" s="57">
        <v>7</v>
      </c>
      <c r="AB137" s="57">
        <v>4</v>
      </c>
      <c r="AC137" s="26">
        <f t="shared" si="6"/>
        <v>19</v>
      </c>
      <c r="AD137" s="25">
        <v>5</v>
      </c>
      <c r="AE137" s="28">
        <f t="shared" si="7"/>
        <v>64</v>
      </c>
    </row>
    <row r="138" spans="2:31" ht="15.6" x14ac:dyDescent="0.3">
      <c r="B138" s="8">
        <v>124</v>
      </c>
      <c r="C138" s="48" t="s">
        <v>162</v>
      </c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56">
        <v>3</v>
      </c>
      <c r="T138" s="57">
        <v>2</v>
      </c>
      <c r="U138" s="57">
        <v>4</v>
      </c>
      <c r="V138" s="57">
        <v>6</v>
      </c>
      <c r="W138" s="57" t="s">
        <v>220</v>
      </c>
      <c r="X138" s="26">
        <f t="shared" si="5"/>
        <v>15</v>
      </c>
      <c r="Y138" s="70">
        <v>18</v>
      </c>
      <c r="Z138" s="56">
        <v>3</v>
      </c>
      <c r="AA138" s="57">
        <v>8</v>
      </c>
      <c r="AB138" s="57" t="s">
        <v>220</v>
      </c>
      <c r="AC138" s="26">
        <f t="shared" si="6"/>
        <v>11</v>
      </c>
      <c r="AD138" s="69">
        <v>5</v>
      </c>
      <c r="AE138" s="28">
        <f t="shared" si="7"/>
        <v>49</v>
      </c>
    </row>
    <row r="139" spans="2:31" ht="15.6" x14ac:dyDescent="0.3">
      <c r="B139" s="8">
        <v>125</v>
      </c>
      <c r="C139" s="48" t="s">
        <v>163</v>
      </c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56">
        <v>1</v>
      </c>
      <c r="T139" s="57" t="s">
        <v>220</v>
      </c>
      <c r="U139" s="57" t="s">
        <v>220</v>
      </c>
      <c r="V139" s="57" t="s">
        <v>220</v>
      </c>
      <c r="W139" s="57" t="s">
        <v>220</v>
      </c>
      <c r="X139" s="26">
        <f t="shared" si="5"/>
        <v>1</v>
      </c>
      <c r="Y139" s="70">
        <v>15</v>
      </c>
      <c r="Z139" s="56">
        <v>8</v>
      </c>
      <c r="AA139" s="57">
        <v>6</v>
      </c>
      <c r="AB139" s="57">
        <v>4</v>
      </c>
      <c r="AC139" s="26">
        <f t="shared" si="6"/>
        <v>18</v>
      </c>
      <c r="AD139" s="25">
        <v>5</v>
      </c>
      <c r="AE139" s="28">
        <f t="shared" si="7"/>
        <v>39</v>
      </c>
    </row>
    <row r="140" spans="2:31" ht="15.6" x14ac:dyDescent="0.3">
      <c r="B140" s="8">
        <v>126</v>
      </c>
      <c r="C140" s="48" t="s">
        <v>164</v>
      </c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56">
        <v>4</v>
      </c>
      <c r="T140" s="57">
        <v>5</v>
      </c>
      <c r="U140" s="57">
        <v>5</v>
      </c>
      <c r="V140" s="57">
        <v>6</v>
      </c>
      <c r="W140" s="57">
        <v>6</v>
      </c>
      <c r="X140" s="26">
        <f t="shared" si="5"/>
        <v>26</v>
      </c>
      <c r="Y140" s="70">
        <v>16</v>
      </c>
      <c r="Z140" s="56">
        <v>3</v>
      </c>
      <c r="AA140" s="57">
        <v>8</v>
      </c>
      <c r="AB140" s="57">
        <v>4</v>
      </c>
      <c r="AC140" s="26">
        <f t="shared" si="6"/>
        <v>15</v>
      </c>
      <c r="AD140" s="69">
        <v>5</v>
      </c>
      <c r="AE140" s="28">
        <f t="shared" si="7"/>
        <v>62</v>
      </c>
    </row>
    <row r="141" spans="2:31" ht="15.6" x14ac:dyDescent="0.3">
      <c r="B141" s="8">
        <v>127</v>
      </c>
      <c r="C141" s="48" t="s">
        <v>165</v>
      </c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56">
        <v>4</v>
      </c>
      <c r="T141" s="57">
        <v>7</v>
      </c>
      <c r="U141" s="57">
        <v>4</v>
      </c>
      <c r="V141" s="57">
        <v>5</v>
      </c>
      <c r="W141" s="57">
        <v>6</v>
      </c>
      <c r="X141" s="26">
        <f t="shared" si="5"/>
        <v>26</v>
      </c>
      <c r="Y141" s="70">
        <v>16</v>
      </c>
      <c r="Z141" s="56" t="s">
        <v>220</v>
      </c>
      <c r="AA141" s="57">
        <v>8</v>
      </c>
      <c r="AB141" s="57">
        <v>4</v>
      </c>
      <c r="AC141" s="26">
        <f t="shared" si="6"/>
        <v>12</v>
      </c>
      <c r="AD141" s="25">
        <v>5</v>
      </c>
      <c r="AE141" s="28">
        <f t="shared" si="7"/>
        <v>59</v>
      </c>
    </row>
    <row r="142" spans="2:31" ht="15.6" x14ac:dyDescent="0.3">
      <c r="B142" s="8">
        <v>128</v>
      </c>
      <c r="C142" s="48" t="s">
        <v>166</v>
      </c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56">
        <v>4</v>
      </c>
      <c r="T142" s="57">
        <v>7</v>
      </c>
      <c r="U142" s="57">
        <v>6</v>
      </c>
      <c r="V142" s="57">
        <v>6</v>
      </c>
      <c r="W142" s="57">
        <v>6</v>
      </c>
      <c r="X142" s="26">
        <f t="shared" si="5"/>
        <v>29</v>
      </c>
      <c r="Y142" s="70">
        <v>16</v>
      </c>
      <c r="Z142" s="56">
        <v>8</v>
      </c>
      <c r="AA142" s="57">
        <v>7</v>
      </c>
      <c r="AB142" s="57">
        <v>0</v>
      </c>
      <c r="AC142" s="26">
        <f t="shared" si="6"/>
        <v>15</v>
      </c>
      <c r="AD142" s="69">
        <v>5</v>
      </c>
      <c r="AE142" s="28">
        <f t="shared" si="7"/>
        <v>65</v>
      </c>
    </row>
    <row r="143" spans="2:31" ht="15.6" x14ac:dyDescent="0.3">
      <c r="B143" s="8">
        <v>129</v>
      </c>
      <c r="C143" s="48" t="s">
        <v>167</v>
      </c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56">
        <v>4</v>
      </c>
      <c r="T143" s="57">
        <v>5</v>
      </c>
      <c r="U143" s="57">
        <v>6</v>
      </c>
      <c r="V143" s="57">
        <v>4</v>
      </c>
      <c r="W143" s="57">
        <v>6</v>
      </c>
      <c r="X143" s="26">
        <f t="shared" si="5"/>
        <v>25</v>
      </c>
      <c r="Y143" s="70">
        <v>19</v>
      </c>
      <c r="Z143" s="56">
        <v>4</v>
      </c>
      <c r="AA143" s="57">
        <v>1</v>
      </c>
      <c r="AB143" s="57">
        <v>4</v>
      </c>
      <c r="AC143" s="26">
        <f t="shared" si="6"/>
        <v>9</v>
      </c>
      <c r="AD143" s="25">
        <v>5</v>
      </c>
      <c r="AE143" s="28">
        <f t="shared" si="7"/>
        <v>58</v>
      </c>
    </row>
    <row r="144" spans="2:31" ht="15.6" x14ac:dyDescent="0.3">
      <c r="B144" s="8">
        <v>130</v>
      </c>
      <c r="C144" s="48" t="s">
        <v>168</v>
      </c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56">
        <v>4</v>
      </c>
      <c r="T144" s="57">
        <v>8</v>
      </c>
      <c r="U144" s="57">
        <v>5</v>
      </c>
      <c r="V144" s="57">
        <v>6</v>
      </c>
      <c r="W144" s="57">
        <v>6</v>
      </c>
      <c r="X144" s="26">
        <f t="shared" ref="X144:X195" si="8">SUM(S144:W144)</f>
        <v>29</v>
      </c>
      <c r="Y144" s="70">
        <v>17</v>
      </c>
      <c r="Z144" s="56">
        <v>8</v>
      </c>
      <c r="AA144" s="57">
        <v>7</v>
      </c>
      <c r="AB144" s="57">
        <v>4</v>
      </c>
      <c r="AC144" s="26">
        <f t="shared" ref="AC144:AC195" si="9">SUM(Z144:AB144)</f>
        <v>19</v>
      </c>
      <c r="AD144" s="69">
        <v>5</v>
      </c>
      <c r="AE144" s="28">
        <f t="shared" ref="AE144:AE195" si="10">SUM(AD144+AC144+Y144+X144)</f>
        <v>70</v>
      </c>
    </row>
    <row r="145" spans="2:31" ht="15.6" x14ac:dyDescent="0.3">
      <c r="B145" s="8">
        <v>131</v>
      </c>
      <c r="C145" s="48" t="s">
        <v>169</v>
      </c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56">
        <v>4</v>
      </c>
      <c r="T145" s="57">
        <v>8</v>
      </c>
      <c r="U145" s="57">
        <v>6</v>
      </c>
      <c r="V145" s="57">
        <v>6</v>
      </c>
      <c r="W145" s="57">
        <v>6</v>
      </c>
      <c r="X145" s="26">
        <f t="shared" si="8"/>
        <v>30</v>
      </c>
      <c r="Y145" s="70">
        <v>16</v>
      </c>
      <c r="Z145" s="56">
        <v>8</v>
      </c>
      <c r="AA145" s="57">
        <v>8</v>
      </c>
      <c r="AB145" s="57">
        <v>4</v>
      </c>
      <c r="AC145" s="26">
        <f t="shared" si="9"/>
        <v>20</v>
      </c>
      <c r="AD145" s="25">
        <v>5</v>
      </c>
      <c r="AE145" s="28">
        <f t="shared" si="10"/>
        <v>71</v>
      </c>
    </row>
    <row r="146" spans="2:31" ht="15.6" x14ac:dyDescent="0.3">
      <c r="B146" s="8">
        <v>132</v>
      </c>
      <c r="C146" s="48" t="s">
        <v>170</v>
      </c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56">
        <v>4</v>
      </c>
      <c r="T146" s="57">
        <v>4</v>
      </c>
      <c r="U146" s="57">
        <v>6</v>
      </c>
      <c r="V146" s="57">
        <v>4</v>
      </c>
      <c r="W146" s="57">
        <v>6</v>
      </c>
      <c r="X146" s="26">
        <f t="shared" si="8"/>
        <v>24</v>
      </c>
      <c r="Y146" s="70">
        <v>19</v>
      </c>
      <c r="Z146" s="56">
        <v>8</v>
      </c>
      <c r="AA146" s="57">
        <v>2</v>
      </c>
      <c r="AB146" s="57">
        <v>0</v>
      </c>
      <c r="AC146" s="26">
        <f t="shared" si="9"/>
        <v>10</v>
      </c>
      <c r="AD146" s="69">
        <v>5</v>
      </c>
      <c r="AE146" s="28">
        <f t="shared" si="10"/>
        <v>58</v>
      </c>
    </row>
    <row r="147" spans="2:31" ht="15.6" x14ac:dyDescent="0.3">
      <c r="B147" s="8">
        <v>133</v>
      </c>
      <c r="C147" s="48" t="s">
        <v>171</v>
      </c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56">
        <v>4</v>
      </c>
      <c r="T147" s="57">
        <v>6</v>
      </c>
      <c r="U147" s="57">
        <v>4</v>
      </c>
      <c r="V147" s="57">
        <v>6</v>
      </c>
      <c r="W147" s="57">
        <v>6</v>
      </c>
      <c r="X147" s="26">
        <f t="shared" si="8"/>
        <v>26</v>
      </c>
      <c r="Y147" s="70">
        <v>16</v>
      </c>
      <c r="Z147" s="56">
        <v>4</v>
      </c>
      <c r="AA147" s="57">
        <v>2</v>
      </c>
      <c r="AB147" s="57">
        <v>0</v>
      </c>
      <c r="AC147" s="26">
        <f t="shared" si="9"/>
        <v>6</v>
      </c>
      <c r="AD147" s="25">
        <v>5</v>
      </c>
      <c r="AE147" s="28">
        <f t="shared" si="10"/>
        <v>53</v>
      </c>
    </row>
    <row r="148" spans="2:31" ht="15.6" x14ac:dyDescent="0.3">
      <c r="B148" s="8">
        <v>134</v>
      </c>
      <c r="C148" s="48" t="s">
        <v>172</v>
      </c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56">
        <v>4</v>
      </c>
      <c r="T148" s="57">
        <v>2</v>
      </c>
      <c r="U148" s="57" t="s">
        <v>220</v>
      </c>
      <c r="V148" s="57">
        <v>2</v>
      </c>
      <c r="W148" s="57" t="s">
        <v>220</v>
      </c>
      <c r="X148" s="26">
        <f t="shared" si="8"/>
        <v>8</v>
      </c>
      <c r="Y148" s="70">
        <v>15</v>
      </c>
      <c r="Z148" s="56">
        <v>4</v>
      </c>
      <c r="AA148" s="57">
        <v>1</v>
      </c>
      <c r="AB148" s="57">
        <v>0</v>
      </c>
      <c r="AC148" s="26">
        <f t="shared" si="9"/>
        <v>5</v>
      </c>
      <c r="AD148" s="69">
        <v>5</v>
      </c>
      <c r="AE148" s="28">
        <f t="shared" si="10"/>
        <v>33</v>
      </c>
    </row>
    <row r="149" spans="2:31" ht="15.6" x14ac:dyDescent="0.3">
      <c r="B149" s="8">
        <v>135</v>
      </c>
      <c r="C149" s="48" t="s">
        <v>173</v>
      </c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56">
        <v>4</v>
      </c>
      <c r="T149" s="57">
        <v>8</v>
      </c>
      <c r="U149" s="57">
        <v>6</v>
      </c>
      <c r="V149" s="57">
        <v>6</v>
      </c>
      <c r="W149" s="57">
        <v>6</v>
      </c>
      <c r="X149" s="26">
        <f t="shared" si="8"/>
        <v>30</v>
      </c>
      <c r="Y149" s="70">
        <v>17</v>
      </c>
      <c r="Z149" s="56">
        <v>8</v>
      </c>
      <c r="AA149" s="57">
        <v>7</v>
      </c>
      <c r="AB149" s="57">
        <v>0</v>
      </c>
      <c r="AC149" s="26">
        <f t="shared" si="9"/>
        <v>15</v>
      </c>
      <c r="AD149" s="25">
        <v>5</v>
      </c>
      <c r="AE149" s="28">
        <f t="shared" si="10"/>
        <v>67</v>
      </c>
    </row>
    <row r="150" spans="2:31" ht="15.6" x14ac:dyDescent="0.3">
      <c r="B150" s="8">
        <v>136</v>
      </c>
      <c r="C150" s="48" t="s">
        <v>174</v>
      </c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56">
        <v>4</v>
      </c>
      <c r="T150" s="57">
        <v>7</v>
      </c>
      <c r="U150" s="57">
        <v>6</v>
      </c>
      <c r="V150" s="57">
        <v>6</v>
      </c>
      <c r="W150" s="57">
        <v>6</v>
      </c>
      <c r="X150" s="26">
        <f t="shared" si="8"/>
        <v>29</v>
      </c>
      <c r="Y150" s="70">
        <v>17</v>
      </c>
      <c r="Z150" s="56">
        <v>6</v>
      </c>
      <c r="AA150" s="57">
        <v>4</v>
      </c>
      <c r="AB150" s="57">
        <v>3</v>
      </c>
      <c r="AC150" s="26">
        <f t="shared" si="9"/>
        <v>13</v>
      </c>
      <c r="AD150" s="69">
        <v>5</v>
      </c>
      <c r="AE150" s="28">
        <f t="shared" si="10"/>
        <v>64</v>
      </c>
    </row>
    <row r="151" spans="2:31" ht="15.6" x14ac:dyDescent="0.3">
      <c r="B151" s="8">
        <v>137</v>
      </c>
      <c r="C151" s="48" t="s">
        <v>175</v>
      </c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56">
        <v>4</v>
      </c>
      <c r="T151" s="57">
        <v>5</v>
      </c>
      <c r="U151" s="57">
        <v>4</v>
      </c>
      <c r="V151" s="57">
        <v>6</v>
      </c>
      <c r="W151" s="57">
        <v>6</v>
      </c>
      <c r="X151" s="26">
        <f t="shared" si="8"/>
        <v>25</v>
      </c>
      <c r="Y151" s="70">
        <v>17</v>
      </c>
      <c r="Z151" s="56">
        <v>8</v>
      </c>
      <c r="AA151" s="57">
        <v>2</v>
      </c>
      <c r="AB151" s="57">
        <v>1</v>
      </c>
      <c r="AC151" s="26">
        <f t="shared" si="9"/>
        <v>11</v>
      </c>
      <c r="AD151" s="25">
        <v>5</v>
      </c>
      <c r="AE151" s="28">
        <f t="shared" si="10"/>
        <v>58</v>
      </c>
    </row>
    <row r="152" spans="2:31" ht="15.6" x14ac:dyDescent="0.3">
      <c r="B152" s="8">
        <v>138</v>
      </c>
      <c r="C152" s="48" t="s">
        <v>176</v>
      </c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56">
        <v>4</v>
      </c>
      <c r="T152" s="57">
        <v>4</v>
      </c>
      <c r="U152" s="57">
        <v>6</v>
      </c>
      <c r="V152" s="57">
        <v>4</v>
      </c>
      <c r="W152" s="57">
        <v>6</v>
      </c>
      <c r="X152" s="26">
        <f t="shared" si="8"/>
        <v>24</v>
      </c>
      <c r="Y152" s="70">
        <v>16</v>
      </c>
      <c r="Z152" s="56">
        <v>6</v>
      </c>
      <c r="AA152" s="57">
        <v>7</v>
      </c>
      <c r="AB152" s="57">
        <v>0</v>
      </c>
      <c r="AC152" s="26">
        <f t="shared" si="9"/>
        <v>13</v>
      </c>
      <c r="AD152" s="69">
        <v>5</v>
      </c>
      <c r="AE152" s="28">
        <f t="shared" si="10"/>
        <v>58</v>
      </c>
    </row>
    <row r="153" spans="2:31" ht="15.6" x14ac:dyDescent="0.3">
      <c r="B153" s="8">
        <v>139</v>
      </c>
      <c r="C153" s="48" t="s">
        <v>177</v>
      </c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56">
        <v>2</v>
      </c>
      <c r="T153" s="57">
        <v>7</v>
      </c>
      <c r="U153" s="57">
        <v>2</v>
      </c>
      <c r="V153" s="57">
        <v>3</v>
      </c>
      <c r="W153" s="57">
        <v>6</v>
      </c>
      <c r="X153" s="26">
        <f t="shared" si="8"/>
        <v>20</v>
      </c>
      <c r="Y153" s="70">
        <v>15</v>
      </c>
      <c r="Z153" s="56">
        <v>8</v>
      </c>
      <c r="AA153" s="57">
        <v>8</v>
      </c>
      <c r="AB153" s="57">
        <v>4</v>
      </c>
      <c r="AC153" s="26">
        <f t="shared" si="9"/>
        <v>20</v>
      </c>
      <c r="AD153" s="25">
        <v>5</v>
      </c>
      <c r="AE153" s="28">
        <f t="shared" si="10"/>
        <v>60</v>
      </c>
    </row>
    <row r="154" spans="2:31" ht="15.6" x14ac:dyDescent="0.3">
      <c r="B154" s="8">
        <v>140</v>
      </c>
      <c r="C154" s="48" t="s">
        <v>178</v>
      </c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56">
        <v>3</v>
      </c>
      <c r="T154" s="57">
        <v>8</v>
      </c>
      <c r="U154" s="57">
        <v>6</v>
      </c>
      <c r="V154" s="57">
        <v>6</v>
      </c>
      <c r="W154" s="57">
        <v>1</v>
      </c>
      <c r="X154" s="26">
        <f t="shared" si="8"/>
        <v>24</v>
      </c>
      <c r="Y154" s="70">
        <v>18</v>
      </c>
      <c r="Z154" s="56">
        <v>8</v>
      </c>
      <c r="AA154" s="57">
        <v>6</v>
      </c>
      <c r="AB154" s="57">
        <v>2</v>
      </c>
      <c r="AC154" s="26">
        <f t="shared" si="9"/>
        <v>16</v>
      </c>
      <c r="AD154" s="69">
        <v>5</v>
      </c>
      <c r="AE154" s="28">
        <f t="shared" si="10"/>
        <v>63</v>
      </c>
    </row>
    <row r="155" spans="2:31" ht="15.6" x14ac:dyDescent="0.3">
      <c r="B155" s="8">
        <v>141</v>
      </c>
      <c r="C155" s="48" t="s">
        <v>179</v>
      </c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56">
        <v>2</v>
      </c>
      <c r="T155" s="57">
        <v>4</v>
      </c>
      <c r="U155" s="57">
        <v>5</v>
      </c>
      <c r="V155" s="57">
        <v>5</v>
      </c>
      <c r="W155" s="57">
        <v>5</v>
      </c>
      <c r="X155" s="26">
        <f t="shared" si="8"/>
        <v>21</v>
      </c>
      <c r="Y155" s="70">
        <v>17</v>
      </c>
      <c r="Z155" s="56">
        <v>5</v>
      </c>
      <c r="AA155" s="57">
        <v>8</v>
      </c>
      <c r="AB155" s="57">
        <v>0</v>
      </c>
      <c r="AC155" s="26">
        <f t="shared" si="9"/>
        <v>13</v>
      </c>
      <c r="AD155" s="25">
        <v>5</v>
      </c>
      <c r="AE155" s="28">
        <f t="shared" si="10"/>
        <v>56</v>
      </c>
    </row>
    <row r="156" spans="2:31" ht="15.6" x14ac:dyDescent="0.3">
      <c r="B156" s="8">
        <v>142</v>
      </c>
      <c r="C156" s="48" t="s">
        <v>180</v>
      </c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56">
        <v>4</v>
      </c>
      <c r="T156" s="57">
        <v>6</v>
      </c>
      <c r="U156" s="57">
        <v>4</v>
      </c>
      <c r="V156" s="57">
        <v>6</v>
      </c>
      <c r="W156" s="57">
        <v>6</v>
      </c>
      <c r="X156" s="26">
        <f t="shared" si="8"/>
        <v>26</v>
      </c>
      <c r="Y156" s="70">
        <v>17</v>
      </c>
      <c r="Z156" s="56">
        <v>5</v>
      </c>
      <c r="AA156" s="57">
        <v>8</v>
      </c>
      <c r="AB156" s="57">
        <v>0</v>
      </c>
      <c r="AC156" s="26">
        <f t="shared" si="9"/>
        <v>13</v>
      </c>
      <c r="AD156" s="69">
        <v>5</v>
      </c>
      <c r="AE156" s="28">
        <f t="shared" si="10"/>
        <v>61</v>
      </c>
    </row>
    <row r="157" spans="2:31" ht="15.6" x14ac:dyDescent="0.3">
      <c r="B157" s="8">
        <v>143</v>
      </c>
      <c r="C157" s="48" t="s">
        <v>181</v>
      </c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56">
        <v>3</v>
      </c>
      <c r="T157" s="57">
        <v>4</v>
      </c>
      <c r="U157" s="57">
        <v>5</v>
      </c>
      <c r="V157" s="57">
        <v>4</v>
      </c>
      <c r="W157" s="57">
        <v>4</v>
      </c>
      <c r="X157" s="26">
        <f t="shared" si="8"/>
        <v>20</v>
      </c>
      <c r="Y157" s="70">
        <v>13</v>
      </c>
      <c r="Z157" s="56">
        <v>8</v>
      </c>
      <c r="AA157" s="57">
        <v>7</v>
      </c>
      <c r="AB157" s="57">
        <v>2</v>
      </c>
      <c r="AC157" s="26">
        <f t="shared" si="9"/>
        <v>17</v>
      </c>
      <c r="AD157" s="25">
        <v>5</v>
      </c>
      <c r="AE157" s="28">
        <f t="shared" si="10"/>
        <v>55</v>
      </c>
    </row>
    <row r="158" spans="2:31" ht="15.6" x14ac:dyDescent="0.3">
      <c r="B158" s="8">
        <v>144</v>
      </c>
      <c r="C158" s="48" t="s">
        <v>182</v>
      </c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56">
        <v>3</v>
      </c>
      <c r="T158" s="57">
        <v>4</v>
      </c>
      <c r="U158" s="57">
        <v>4</v>
      </c>
      <c r="V158" s="57">
        <v>4</v>
      </c>
      <c r="W158" s="57">
        <v>3</v>
      </c>
      <c r="X158" s="26">
        <f t="shared" si="8"/>
        <v>18</v>
      </c>
      <c r="Y158" s="70">
        <v>17</v>
      </c>
      <c r="Z158" s="56">
        <v>6</v>
      </c>
      <c r="AA158" s="57">
        <v>2</v>
      </c>
      <c r="AB158" s="57">
        <v>2</v>
      </c>
      <c r="AC158" s="26">
        <f t="shared" si="9"/>
        <v>10</v>
      </c>
      <c r="AD158" s="69">
        <v>5</v>
      </c>
      <c r="AE158" s="28">
        <f t="shared" si="10"/>
        <v>50</v>
      </c>
    </row>
    <row r="159" spans="2:31" ht="15.6" x14ac:dyDescent="0.3">
      <c r="B159" s="8">
        <v>145</v>
      </c>
      <c r="C159" s="48" t="s">
        <v>183</v>
      </c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56">
        <v>4</v>
      </c>
      <c r="T159" s="57">
        <v>5</v>
      </c>
      <c r="U159" s="57">
        <v>6</v>
      </c>
      <c r="V159" s="57">
        <v>3</v>
      </c>
      <c r="W159" s="57">
        <v>5</v>
      </c>
      <c r="X159" s="26">
        <f t="shared" si="8"/>
        <v>23</v>
      </c>
      <c r="Y159" s="70">
        <v>15</v>
      </c>
      <c r="Z159" s="56">
        <v>7</v>
      </c>
      <c r="AA159" s="57">
        <v>6</v>
      </c>
      <c r="AB159" s="57">
        <v>0</v>
      </c>
      <c r="AC159" s="26">
        <f t="shared" si="9"/>
        <v>13</v>
      </c>
      <c r="AD159" s="25">
        <v>5</v>
      </c>
      <c r="AE159" s="28">
        <f t="shared" si="10"/>
        <v>56</v>
      </c>
    </row>
    <row r="160" spans="2:31" ht="15.6" x14ac:dyDescent="0.3">
      <c r="B160" s="8">
        <v>146</v>
      </c>
      <c r="C160" s="48" t="s">
        <v>184</v>
      </c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56">
        <v>4</v>
      </c>
      <c r="T160" s="57">
        <v>7</v>
      </c>
      <c r="U160" s="57">
        <v>4</v>
      </c>
      <c r="V160" s="57">
        <v>6</v>
      </c>
      <c r="W160" s="57">
        <v>6</v>
      </c>
      <c r="X160" s="26">
        <f t="shared" si="8"/>
        <v>27</v>
      </c>
      <c r="Y160" s="70">
        <v>16</v>
      </c>
      <c r="Z160" s="56">
        <v>8</v>
      </c>
      <c r="AA160" s="57">
        <v>7</v>
      </c>
      <c r="AB160" s="57">
        <v>4</v>
      </c>
      <c r="AC160" s="26">
        <f t="shared" si="9"/>
        <v>19</v>
      </c>
      <c r="AD160" s="69">
        <v>5</v>
      </c>
      <c r="AE160" s="28">
        <f t="shared" si="10"/>
        <v>67</v>
      </c>
    </row>
    <row r="161" spans="2:31" ht="15.6" x14ac:dyDescent="0.3">
      <c r="B161" s="8">
        <v>147</v>
      </c>
      <c r="C161" s="48" t="s">
        <v>185</v>
      </c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56">
        <v>4</v>
      </c>
      <c r="T161" s="57">
        <v>8</v>
      </c>
      <c r="U161" s="57">
        <v>6</v>
      </c>
      <c r="V161" s="57">
        <v>6</v>
      </c>
      <c r="W161" s="57">
        <v>4</v>
      </c>
      <c r="X161" s="26">
        <f t="shared" si="8"/>
        <v>28</v>
      </c>
      <c r="Y161" s="70">
        <v>18</v>
      </c>
      <c r="Z161" s="56">
        <v>4</v>
      </c>
      <c r="AA161" s="57">
        <v>2</v>
      </c>
      <c r="AB161" s="57">
        <v>3</v>
      </c>
      <c r="AC161" s="26">
        <f t="shared" si="9"/>
        <v>9</v>
      </c>
      <c r="AD161" s="25">
        <v>5</v>
      </c>
      <c r="AE161" s="28">
        <f t="shared" si="10"/>
        <v>60</v>
      </c>
    </row>
    <row r="162" spans="2:31" ht="15.6" x14ac:dyDescent="0.3">
      <c r="B162" s="8">
        <v>148</v>
      </c>
      <c r="C162" s="48" t="s">
        <v>186</v>
      </c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56">
        <v>1</v>
      </c>
      <c r="T162" s="57" t="s">
        <v>220</v>
      </c>
      <c r="U162" s="57">
        <v>5</v>
      </c>
      <c r="V162" s="57">
        <v>5</v>
      </c>
      <c r="W162" s="57">
        <v>4</v>
      </c>
      <c r="X162" s="26">
        <f t="shared" si="8"/>
        <v>15</v>
      </c>
      <c r="Y162" s="70">
        <v>4</v>
      </c>
      <c r="Z162" s="56">
        <v>8</v>
      </c>
      <c r="AA162" s="57">
        <v>4</v>
      </c>
      <c r="AB162" s="57">
        <v>2</v>
      </c>
      <c r="AC162" s="26">
        <f t="shared" si="9"/>
        <v>14</v>
      </c>
      <c r="AD162" s="69">
        <v>5</v>
      </c>
      <c r="AE162" s="28">
        <f t="shared" si="10"/>
        <v>38</v>
      </c>
    </row>
    <row r="163" spans="2:31" ht="15.6" x14ac:dyDescent="0.3">
      <c r="B163" s="8">
        <v>149</v>
      </c>
      <c r="C163" s="48" t="s">
        <v>187</v>
      </c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56">
        <v>4</v>
      </c>
      <c r="T163" s="57">
        <v>3</v>
      </c>
      <c r="U163" s="57" t="s">
        <v>220</v>
      </c>
      <c r="V163" s="57">
        <v>5</v>
      </c>
      <c r="W163" s="57">
        <v>0</v>
      </c>
      <c r="X163" s="26">
        <f t="shared" si="8"/>
        <v>12</v>
      </c>
      <c r="Y163" s="70">
        <v>16</v>
      </c>
      <c r="Z163" s="56">
        <v>5</v>
      </c>
      <c r="AA163" s="57">
        <v>4</v>
      </c>
      <c r="AB163" s="57">
        <v>3</v>
      </c>
      <c r="AC163" s="26">
        <f t="shared" si="9"/>
        <v>12</v>
      </c>
      <c r="AD163" s="25">
        <v>5</v>
      </c>
      <c r="AE163" s="28">
        <f t="shared" si="10"/>
        <v>45</v>
      </c>
    </row>
    <row r="164" spans="2:31" ht="15.6" x14ac:dyDescent="0.3">
      <c r="B164" s="8">
        <v>150</v>
      </c>
      <c r="C164" s="48" t="s">
        <v>188</v>
      </c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56">
        <v>4</v>
      </c>
      <c r="T164" s="57">
        <v>7</v>
      </c>
      <c r="U164" s="57">
        <v>6</v>
      </c>
      <c r="V164" s="57">
        <v>6</v>
      </c>
      <c r="W164" s="57">
        <v>6</v>
      </c>
      <c r="X164" s="26">
        <f t="shared" si="8"/>
        <v>29</v>
      </c>
      <c r="Y164" s="70">
        <v>15</v>
      </c>
      <c r="Z164" s="56">
        <v>8</v>
      </c>
      <c r="AA164" s="57">
        <v>7</v>
      </c>
      <c r="AB164" s="57">
        <v>2</v>
      </c>
      <c r="AC164" s="26">
        <f t="shared" si="9"/>
        <v>17</v>
      </c>
      <c r="AD164" s="69">
        <v>5</v>
      </c>
      <c r="AE164" s="28">
        <f t="shared" si="10"/>
        <v>66</v>
      </c>
    </row>
    <row r="165" spans="2:31" ht="15.6" x14ac:dyDescent="0.3">
      <c r="B165" s="8">
        <v>151</v>
      </c>
      <c r="C165" s="48" t="s">
        <v>189</v>
      </c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56">
        <v>1</v>
      </c>
      <c r="T165" s="57">
        <v>2</v>
      </c>
      <c r="U165" s="57">
        <v>1</v>
      </c>
      <c r="V165" s="57" t="s">
        <v>220</v>
      </c>
      <c r="W165" s="57">
        <v>5</v>
      </c>
      <c r="X165" s="26">
        <f t="shared" si="8"/>
        <v>9</v>
      </c>
      <c r="Y165" s="70">
        <v>17</v>
      </c>
      <c r="Z165" s="56">
        <v>3</v>
      </c>
      <c r="AA165" s="57">
        <v>6</v>
      </c>
      <c r="AB165" s="57">
        <v>4</v>
      </c>
      <c r="AC165" s="26">
        <f t="shared" si="9"/>
        <v>13</v>
      </c>
      <c r="AD165" s="25">
        <v>5</v>
      </c>
      <c r="AE165" s="28">
        <f t="shared" si="10"/>
        <v>44</v>
      </c>
    </row>
    <row r="166" spans="2:31" ht="15.6" x14ac:dyDescent="0.3">
      <c r="B166" s="8">
        <v>152</v>
      </c>
      <c r="C166" s="48" t="s">
        <v>190</v>
      </c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56">
        <v>4</v>
      </c>
      <c r="T166" s="57">
        <v>4</v>
      </c>
      <c r="U166" s="57">
        <v>3</v>
      </c>
      <c r="V166" s="57">
        <v>6</v>
      </c>
      <c r="W166" s="57">
        <v>6</v>
      </c>
      <c r="X166" s="26">
        <f t="shared" si="8"/>
        <v>23</v>
      </c>
      <c r="Y166" s="70">
        <v>17</v>
      </c>
      <c r="Z166" s="56">
        <v>6</v>
      </c>
      <c r="AA166" s="57">
        <v>6</v>
      </c>
      <c r="AB166" s="57">
        <v>4</v>
      </c>
      <c r="AC166" s="26">
        <f t="shared" si="9"/>
        <v>16</v>
      </c>
      <c r="AD166" s="69">
        <v>5</v>
      </c>
      <c r="AE166" s="28">
        <f t="shared" si="10"/>
        <v>61</v>
      </c>
    </row>
    <row r="167" spans="2:31" ht="15.6" x14ac:dyDescent="0.3">
      <c r="B167" s="8">
        <v>153</v>
      </c>
      <c r="C167" s="48" t="s">
        <v>191</v>
      </c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56">
        <v>4</v>
      </c>
      <c r="T167" s="57">
        <v>3</v>
      </c>
      <c r="U167" s="57">
        <v>4</v>
      </c>
      <c r="V167" s="57">
        <v>5</v>
      </c>
      <c r="W167" s="57">
        <v>4</v>
      </c>
      <c r="X167" s="26">
        <f t="shared" si="8"/>
        <v>20</v>
      </c>
      <c r="Y167" s="70">
        <v>16</v>
      </c>
      <c r="Z167" s="56">
        <v>8</v>
      </c>
      <c r="AA167" s="57">
        <v>5</v>
      </c>
      <c r="AB167" s="57">
        <v>2</v>
      </c>
      <c r="AC167" s="26">
        <f t="shared" si="9"/>
        <v>15</v>
      </c>
      <c r="AD167" s="25">
        <v>5</v>
      </c>
      <c r="AE167" s="28">
        <f t="shared" si="10"/>
        <v>56</v>
      </c>
    </row>
    <row r="168" spans="2:31" ht="15.6" x14ac:dyDescent="0.3">
      <c r="B168" s="8">
        <v>154</v>
      </c>
      <c r="C168" s="48" t="s">
        <v>192</v>
      </c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56">
        <v>4</v>
      </c>
      <c r="T168" s="57">
        <v>7</v>
      </c>
      <c r="U168" s="57">
        <v>6</v>
      </c>
      <c r="V168" s="57">
        <v>6</v>
      </c>
      <c r="W168" s="57">
        <v>6</v>
      </c>
      <c r="X168" s="26">
        <f t="shared" si="8"/>
        <v>29</v>
      </c>
      <c r="Y168" s="70">
        <v>14</v>
      </c>
      <c r="Z168" s="56">
        <v>8</v>
      </c>
      <c r="AA168" s="57">
        <v>6</v>
      </c>
      <c r="AB168" s="57">
        <v>2</v>
      </c>
      <c r="AC168" s="26">
        <f t="shared" si="9"/>
        <v>16</v>
      </c>
      <c r="AD168" s="69">
        <v>5</v>
      </c>
      <c r="AE168" s="28">
        <f t="shared" si="10"/>
        <v>64</v>
      </c>
    </row>
    <row r="169" spans="2:31" ht="15.6" x14ac:dyDescent="0.3">
      <c r="B169" s="8">
        <v>155</v>
      </c>
      <c r="C169" s="48" t="s">
        <v>193</v>
      </c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56">
        <v>3</v>
      </c>
      <c r="T169" s="57">
        <v>5</v>
      </c>
      <c r="U169" s="57">
        <v>6</v>
      </c>
      <c r="V169" s="57">
        <v>6</v>
      </c>
      <c r="W169" s="57">
        <v>6</v>
      </c>
      <c r="X169" s="26">
        <f t="shared" si="8"/>
        <v>26</v>
      </c>
      <c r="Y169" s="70">
        <v>16</v>
      </c>
      <c r="Z169" s="56">
        <v>6</v>
      </c>
      <c r="AA169" s="57">
        <v>7</v>
      </c>
      <c r="AB169" s="57">
        <v>2</v>
      </c>
      <c r="AC169" s="26">
        <f t="shared" si="9"/>
        <v>15</v>
      </c>
      <c r="AD169" s="25">
        <v>5</v>
      </c>
      <c r="AE169" s="28">
        <f t="shared" si="10"/>
        <v>62</v>
      </c>
    </row>
    <row r="170" spans="2:31" ht="15.6" x14ac:dyDescent="0.3">
      <c r="B170" s="8">
        <v>156</v>
      </c>
      <c r="C170" s="48" t="s">
        <v>194</v>
      </c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56">
        <v>4</v>
      </c>
      <c r="T170" s="57">
        <v>8</v>
      </c>
      <c r="U170" s="57">
        <v>6</v>
      </c>
      <c r="V170" s="57">
        <v>6</v>
      </c>
      <c r="W170" s="57">
        <v>6</v>
      </c>
      <c r="X170" s="26">
        <f t="shared" si="8"/>
        <v>30</v>
      </c>
      <c r="Y170" s="70">
        <v>16</v>
      </c>
      <c r="Z170" s="56">
        <v>6</v>
      </c>
      <c r="AA170" s="57">
        <v>7</v>
      </c>
      <c r="AB170" s="57">
        <v>4</v>
      </c>
      <c r="AC170" s="26">
        <f t="shared" si="9"/>
        <v>17</v>
      </c>
      <c r="AD170" s="69">
        <v>5</v>
      </c>
      <c r="AE170" s="28">
        <f t="shared" si="10"/>
        <v>68</v>
      </c>
    </row>
    <row r="171" spans="2:31" ht="15.6" x14ac:dyDescent="0.3">
      <c r="B171" s="8">
        <v>157</v>
      </c>
      <c r="C171" s="48" t="s">
        <v>195</v>
      </c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56">
        <v>4</v>
      </c>
      <c r="T171" s="57">
        <v>4</v>
      </c>
      <c r="U171" s="57">
        <v>6</v>
      </c>
      <c r="V171" s="57">
        <v>6</v>
      </c>
      <c r="W171" s="57">
        <v>4</v>
      </c>
      <c r="X171" s="26">
        <f t="shared" si="8"/>
        <v>24</v>
      </c>
      <c r="Y171" s="70">
        <v>16</v>
      </c>
      <c r="Z171" s="56">
        <v>5</v>
      </c>
      <c r="AA171" s="57">
        <v>3</v>
      </c>
      <c r="AB171" s="57">
        <v>2</v>
      </c>
      <c r="AC171" s="26">
        <f t="shared" si="9"/>
        <v>10</v>
      </c>
      <c r="AD171" s="25">
        <v>5</v>
      </c>
      <c r="AE171" s="28">
        <f t="shared" si="10"/>
        <v>55</v>
      </c>
    </row>
    <row r="172" spans="2:31" ht="15.6" x14ac:dyDescent="0.3">
      <c r="B172" s="8">
        <v>158</v>
      </c>
      <c r="C172" s="48" t="s">
        <v>196</v>
      </c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56">
        <v>4</v>
      </c>
      <c r="T172" s="57">
        <v>6</v>
      </c>
      <c r="U172" s="57">
        <v>5</v>
      </c>
      <c r="V172" s="57">
        <v>4</v>
      </c>
      <c r="W172" s="57">
        <v>6</v>
      </c>
      <c r="X172" s="26">
        <f t="shared" si="8"/>
        <v>25</v>
      </c>
      <c r="Y172" s="70">
        <v>19</v>
      </c>
      <c r="Z172" s="56">
        <v>8</v>
      </c>
      <c r="AA172" s="57">
        <v>5</v>
      </c>
      <c r="AB172" s="57">
        <v>2</v>
      </c>
      <c r="AC172" s="26">
        <f t="shared" si="9"/>
        <v>15</v>
      </c>
      <c r="AD172" s="69">
        <v>5</v>
      </c>
      <c r="AE172" s="28">
        <f t="shared" si="10"/>
        <v>64</v>
      </c>
    </row>
    <row r="173" spans="2:31" ht="15.6" x14ac:dyDescent="0.3">
      <c r="B173" s="8">
        <v>159</v>
      </c>
      <c r="C173" s="48" t="s">
        <v>197</v>
      </c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56">
        <v>4</v>
      </c>
      <c r="T173" s="57">
        <v>5</v>
      </c>
      <c r="U173" s="57">
        <v>4</v>
      </c>
      <c r="V173" s="57">
        <v>6</v>
      </c>
      <c r="W173" s="57">
        <v>6</v>
      </c>
      <c r="X173" s="26">
        <f t="shared" si="8"/>
        <v>25</v>
      </c>
      <c r="Y173" s="70">
        <v>17</v>
      </c>
      <c r="Z173" s="56">
        <v>8</v>
      </c>
      <c r="AA173" s="57">
        <v>7</v>
      </c>
      <c r="AB173" s="57">
        <v>1</v>
      </c>
      <c r="AC173" s="26">
        <f t="shared" si="9"/>
        <v>16</v>
      </c>
      <c r="AD173" s="25">
        <v>5</v>
      </c>
      <c r="AE173" s="28">
        <f t="shared" si="10"/>
        <v>63</v>
      </c>
    </row>
    <row r="174" spans="2:31" ht="15.6" x14ac:dyDescent="0.3">
      <c r="B174" s="8">
        <v>160</v>
      </c>
      <c r="C174" s="48" t="s">
        <v>198</v>
      </c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56">
        <v>4</v>
      </c>
      <c r="T174" s="57">
        <v>7</v>
      </c>
      <c r="U174" s="57">
        <v>2</v>
      </c>
      <c r="V174" s="57">
        <v>0</v>
      </c>
      <c r="W174" s="57">
        <v>5</v>
      </c>
      <c r="X174" s="26">
        <f t="shared" si="8"/>
        <v>18</v>
      </c>
      <c r="Y174" s="70">
        <v>17</v>
      </c>
      <c r="Z174" s="56">
        <v>8</v>
      </c>
      <c r="AA174" s="57">
        <v>2</v>
      </c>
      <c r="AB174" s="57">
        <v>1</v>
      </c>
      <c r="AC174" s="26">
        <f t="shared" si="9"/>
        <v>11</v>
      </c>
      <c r="AD174" s="69">
        <v>5</v>
      </c>
      <c r="AE174" s="28">
        <f t="shared" si="10"/>
        <v>51</v>
      </c>
    </row>
    <row r="175" spans="2:31" ht="15.6" x14ac:dyDescent="0.3">
      <c r="B175" s="8">
        <v>161</v>
      </c>
      <c r="C175" s="48" t="s">
        <v>199</v>
      </c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56">
        <v>4</v>
      </c>
      <c r="T175" s="57">
        <v>7</v>
      </c>
      <c r="U175" s="57">
        <v>6</v>
      </c>
      <c r="V175" s="57">
        <v>6</v>
      </c>
      <c r="W175" s="57">
        <v>4</v>
      </c>
      <c r="X175" s="26">
        <f t="shared" si="8"/>
        <v>27</v>
      </c>
      <c r="Y175" s="70">
        <v>12</v>
      </c>
      <c r="Z175" s="56">
        <v>8</v>
      </c>
      <c r="AA175" s="57">
        <v>7</v>
      </c>
      <c r="AB175" s="57">
        <v>2</v>
      </c>
      <c r="AC175" s="26">
        <f t="shared" si="9"/>
        <v>17</v>
      </c>
      <c r="AD175" s="25">
        <v>5</v>
      </c>
      <c r="AE175" s="28">
        <f t="shared" si="10"/>
        <v>61</v>
      </c>
    </row>
    <row r="176" spans="2:31" ht="15.6" x14ac:dyDescent="0.3">
      <c r="B176" s="8">
        <v>162</v>
      </c>
      <c r="C176" s="48" t="s">
        <v>200</v>
      </c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56">
        <v>3</v>
      </c>
      <c r="T176" s="57">
        <v>4</v>
      </c>
      <c r="U176" s="57">
        <v>2</v>
      </c>
      <c r="V176" s="57">
        <v>6</v>
      </c>
      <c r="W176" s="57">
        <v>2</v>
      </c>
      <c r="X176" s="26">
        <f t="shared" si="8"/>
        <v>17</v>
      </c>
      <c r="Y176" s="70">
        <v>16</v>
      </c>
      <c r="Z176" s="56">
        <v>5</v>
      </c>
      <c r="AA176" s="57">
        <v>2</v>
      </c>
      <c r="AB176" s="57">
        <v>0</v>
      </c>
      <c r="AC176" s="26">
        <f t="shared" si="9"/>
        <v>7</v>
      </c>
      <c r="AD176" s="69">
        <v>5</v>
      </c>
      <c r="AE176" s="28">
        <f t="shared" si="10"/>
        <v>45</v>
      </c>
    </row>
    <row r="177" spans="2:31" ht="15.6" x14ac:dyDescent="0.3">
      <c r="B177" s="8">
        <v>163</v>
      </c>
      <c r="C177" s="48" t="s">
        <v>201</v>
      </c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56">
        <v>4</v>
      </c>
      <c r="T177" s="57">
        <v>7</v>
      </c>
      <c r="U177" s="57">
        <v>6</v>
      </c>
      <c r="V177" s="57">
        <v>6</v>
      </c>
      <c r="W177" s="57">
        <v>6</v>
      </c>
      <c r="X177" s="26">
        <f t="shared" si="8"/>
        <v>29</v>
      </c>
      <c r="Y177" s="70">
        <v>15</v>
      </c>
      <c r="Z177" s="56">
        <v>8</v>
      </c>
      <c r="AA177" s="57">
        <v>8</v>
      </c>
      <c r="AB177" s="57">
        <v>2</v>
      </c>
      <c r="AC177" s="26">
        <f t="shared" si="9"/>
        <v>18</v>
      </c>
      <c r="AD177" s="25">
        <v>5</v>
      </c>
      <c r="AE177" s="28">
        <f t="shared" si="10"/>
        <v>67</v>
      </c>
    </row>
    <row r="178" spans="2:31" ht="15.6" x14ac:dyDescent="0.3">
      <c r="B178" s="8">
        <v>164</v>
      </c>
      <c r="C178" s="48" t="s">
        <v>202</v>
      </c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56">
        <v>4</v>
      </c>
      <c r="T178" s="57">
        <v>6</v>
      </c>
      <c r="U178" s="57">
        <v>6</v>
      </c>
      <c r="V178" s="57">
        <v>6</v>
      </c>
      <c r="W178" s="57">
        <v>6</v>
      </c>
      <c r="X178" s="26">
        <f t="shared" si="8"/>
        <v>28</v>
      </c>
      <c r="Y178" s="70">
        <v>14</v>
      </c>
      <c r="Z178" s="56">
        <v>7</v>
      </c>
      <c r="AA178" s="57">
        <v>7</v>
      </c>
      <c r="AB178" s="57">
        <v>4</v>
      </c>
      <c r="AC178" s="26">
        <f t="shared" si="9"/>
        <v>18</v>
      </c>
      <c r="AD178" s="69">
        <v>5</v>
      </c>
      <c r="AE178" s="28">
        <f t="shared" si="10"/>
        <v>65</v>
      </c>
    </row>
    <row r="179" spans="2:31" ht="15.6" x14ac:dyDescent="0.3">
      <c r="B179" s="8">
        <v>165</v>
      </c>
      <c r="C179" s="48" t="s">
        <v>203</v>
      </c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56">
        <v>4</v>
      </c>
      <c r="T179" s="57">
        <v>3</v>
      </c>
      <c r="U179" s="57">
        <v>5</v>
      </c>
      <c r="V179" s="57">
        <v>6</v>
      </c>
      <c r="W179" s="57">
        <v>6</v>
      </c>
      <c r="X179" s="26">
        <f t="shared" si="8"/>
        <v>24</v>
      </c>
      <c r="Y179" s="70">
        <v>16</v>
      </c>
      <c r="Z179" s="56">
        <v>5</v>
      </c>
      <c r="AA179" s="57">
        <v>7</v>
      </c>
      <c r="AB179" s="57">
        <v>0</v>
      </c>
      <c r="AC179" s="26">
        <f t="shared" si="9"/>
        <v>12</v>
      </c>
      <c r="AD179" s="25">
        <v>5</v>
      </c>
      <c r="AE179" s="28">
        <f t="shared" si="10"/>
        <v>57</v>
      </c>
    </row>
    <row r="180" spans="2:31" ht="15.6" x14ac:dyDescent="0.3">
      <c r="B180" s="8">
        <v>166</v>
      </c>
      <c r="C180" s="48" t="s">
        <v>204</v>
      </c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56">
        <v>4</v>
      </c>
      <c r="T180" s="57">
        <v>5</v>
      </c>
      <c r="U180" s="57">
        <v>5</v>
      </c>
      <c r="V180" s="57">
        <v>6</v>
      </c>
      <c r="W180" s="57">
        <v>6</v>
      </c>
      <c r="X180" s="26">
        <f t="shared" si="8"/>
        <v>26</v>
      </c>
      <c r="Y180" s="70">
        <v>14</v>
      </c>
      <c r="Z180" s="56">
        <v>8</v>
      </c>
      <c r="AA180" s="57">
        <v>8</v>
      </c>
      <c r="AB180" s="57">
        <v>3</v>
      </c>
      <c r="AC180" s="26">
        <f t="shared" si="9"/>
        <v>19</v>
      </c>
      <c r="AD180" s="69">
        <v>5</v>
      </c>
      <c r="AE180" s="28">
        <f t="shared" si="10"/>
        <v>64</v>
      </c>
    </row>
    <row r="181" spans="2:31" ht="15.6" x14ac:dyDescent="0.3">
      <c r="B181" s="8">
        <v>167</v>
      </c>
      <c r="C181" s="48" t="s">
        <v>205</v>
      </c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56">
        <v>4</v>
      </c>
      <c r="T181" s="57">
        <v>6</v>
      </c>
      <c r="U181" s="57">
        <v>4</v>
      </c>
      <c r="V181" s="57">
        <v>5</v>
      </c>
      <c r="W181" s="57">
        <v>5</v>
      </c>
      <c r="X181" s="26">
        <f t="shared" si="8"/>
        <v>24</v>
      </c>
      <c r="Y181" s="70">
        <v>19</v>
      </c>
      <c r="Z181" s="56">
        <v>7</v>
      </c>
      <c r="AA181" s="57">
        <v>7</v>
      </c>
      <c r="AB181" s="57">
        <v>3</v>
      </c>
      <c r="AC181" s="26">
        <f t="shared" si="9"/>
        <v>17</v>
      </c>
      <c r="AD181" s="25">
        <v>5</v>
      </c>
      <c r="AE181" s="28">
        <f t="shared" si="10"/>
        <v>65</v>
      </c>
    </row>
    <row r="182" spans="2:31" ht="15.6" x14ac:dyDescent="0.3">
      <c r="B182" s="8">
        <v>168</v>
      </c>
      <c r="C182" s="48" t="s">
        <v>206</v>
      </c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56">
        <v>4</v>
      </c>
      <c r="T182" s="57">
        <v>7</v>
      </c>
      <c r="U182" s="57">
        <v>4</v>
      </c>
      <c r="V182" s="57">
        <v>5</v>
      </c>
      <c r="W182" s="57">
        <v>6</v>
      </c>
      <c r="X182" s="26">
        <f t="shared" si="8"/>
        <v>26</v>
      </c>
      <c r="Y182" s="70">
        <v>17</v>
      </c>
      <c r="Z182" s="56">
        <v>8</v>
      </c>
      <c r="AA182" s="57">
        <v>8</v>
      </c>
      <c r="AB182" s="57">
        <v>2</v>
      </c>
      <c r="AC182" s="26">
        <f t="shared" si="9"/>
        <v>18</v>
      </c>
      <c r="AD182" s="69">
        <v>5</v>
      </c>
      <c r="AE182" s="28">
        <f t="shared" si="10"/>
        <v>66</v>
      </c>
    </row>
    <row r="183" spans="2:31" ht="15.6" x14ac:dyDescent="0.3">
      <c r="B183" s="8">
        <v>169</v>
      </c>
      <c r="C183" s="48" t="s">
        <v>207</v>
      </c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56">
        <v>4</v>
      </c>
      <c r="T183" s="57">
        <v>7</v>
      </c>
      <c r="U183" s="57">
        <v>6</v>
      </c>
      <c r="V183" s="57">
        <v>5</v>
      </c>
      <c r="W183" s="57">
        <v>6</v>
      </c>
      <c r="X183" s="26">
        <f t="shared" si="8"/>
        <v>28</v>
      </c>
      <c r="Y183" s="70">
        <v>15</v>
      </c>
      <c r="Z183" s="56">
        <v>6</v>
      </c>
      <c r="AA183" s="57">
        <v>7</v>
      </c>
      <c r="AB183" s="57">
        <v>3</v>
      </c>
      <c r="AC183" s="26">
        <f t="shared" si="9"/>
        <v>16</v>
      </c>
      <c r="AD183" s="25">
        <v>5</v>
      </c>
      <c r="AE183" s="28">
        <f t="shared" si="10"/>
        <v>64</v>
      </c>
    </row>
    <row r="184" spans="2:31" ht="15.6" x14ac:dyDescent="0.3">
      <c r="B184" s="8">
        <v>170</v>
      </c>
      <c r="C184" s="48" t="s">
        <v>208</v>
      </c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56">
        <v>4</v>
      </c>
      <c r="T184" s="57">
        <v>6</v>
      </c>
      <c r="U184" s="57">
        <v>6</v>
      </c>
      <c r="V184" s="57">
        <v>6</v>
      </c>
      <c r="W184" s="57">
        <v>6</v>
      </c>
      <c r="X184" s="26">
        <f t="shared" si="8"/>
        <v>28</v>
      </c>
      <c r="Y184" s="70">
        <v>17</v>
      </c>
      <c r="Z184" s="56">
        <v>6</v>
      </c>
      <c r="AA184" s="57">
        <v>7</v>
      </c>
      <c r="AB184" s="57">
        <v>4</v>
      </c>
      <c r="AC184" s="26">
        <f t="shared" si="9"/>
        <v>17</v>
      </c>
      <c r="AD184" s="69">
        <v>5</v>
      </c>
      <c r="AE184" s="28">
        <f t="shared" si="10"/>
        <v>67</v>
      </c>
    </row>
    <row r="185" spans="2:31" ht="15.6" x14ac:dyDescent="0.3">
      <c r="B185" s="8">
        <v>171</v>
      </c>
      <c r="C185" s="48" t="s">
        <v>209</v>
      </c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2"/>
      <c r="T185" s="42"/>
      <c r="U185" s="42"/>
      <c r="V185" s="42"/>
      <c r="W185" s="42"/>
      <c r="X185" s="26">
        <f t="shared" si="8"/>
        <v>0</v>
      </c>
      <c r="Y185" s="26"/>
      <c r="Z185" s="56" t="s">
        <v>220</v>
      </c>
      <c r="AA185" s="57" t="s">
        <v>220</v>
      </c>
      <c r="AB185" s="57" t="s">
        <v>220</v>
      </c>
      <c r="AC185" s="26">
        <f t="shared" si="9"/>
        <v>0</v>
      </c>
      <c r="AD185" s="25">
        <v>5</v>
      </c>
      <c r="AE185" s="28">
        <f t="shared" si="10"/>
        <v>5</v>
      </c>
    </row>
    <row r="186" spans="2:31" ht="15.6" x14ac:dyDescent="0.3">
      <c r="B186" s="8">
        <v>172</v>
      </c>
      <c r="C186" s="48" t="s">
        <v>210</v>
      </c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53">
        <v>4</v>
      </c>
      <c r="T186" s="54">
        <v>4</v>
      </c>
      <c r="U186" s="54">
        <v>4</v>
      </c>
      <c r="V186" s="54">
        <v>5</v>
      </c>
      <c r="W186" s="54">
        <v>6</v>
      </c>
      <c r="X186" s="26">
        <f t="shared" si="8"/>
        <v>23</v>
      </c>
      <c r="Y186" s="70">
        <v>16</v>
      </c>
      <c r="Z186" s="56">
        <v>7</v>
      </c>
      <c r="AA186" s="57">
        <v>5</v>
      </c>
      <c r="AB186" s="57">
        <v>1</v>
      </c>
      <c r="AC186" s="26">
        <f t="shared" si="9"/>
        <v>13</v>
      </c>
      <c r="AD186" s="69">
        <v>5</v>
      </c>
      <c r="AE186" s="28">
        <f t="shared" si="10"/>
        <v>57</v>
      </c>
    </row>
    <row r="187" spans="2:31" ht="15.6" x14ac:dyDescent="0.3">
      <c r="B187" s="8">
        <v>173</v>
      </c>
      <c r="C187" s="48" t="s">
        <v>211</v>
      </c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56">
        <v>2</v>
      </c>
      <c r="T187" s="57">
        <v>1</v>
      </c>
      <c r="U187" s="57">
        <v>5</v>
      </c>
      <c r="V187" s="57">
        <v>6</v>
      </c>
      <c r="W187" s="57">
        <v>6</v>
      </c>
      <c r="X187" s="26">
        <f t="shared" si="8"/>
        <v>20</v>
      </c>
      <c r="Y187" s="70">
        <v>15</v>
      </c>
      <c r="Z187" s="56">
        <v>5</v>
      </c>
      <c r="AA187" s="57">
        <v>6</v>
      </c>
      <c r="AB187" s="57">
        <v>2</v>
      </c>
      <c r="AC187" s="26">
        <f t="shared" si="9"/>
        <v>13</v>
      </c>
      <c r="AD187" s="25">
        <v>5</v>
      </c>
      <c r="AE187" s="28">
        <f t="shared" si="10"/>
        <v>53</v>
      </c>
    </row>
    <row r="188" spans="2:31" ht="15.6" x14ac:dyDescent="0.3">
      <c r="B188" s="8">
        <v>174</v>
      </c>
      <c r="C188" s="48" t="s">
        <v>212</v>
      </c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56">
        <v>1</v>
      </c>
      <c r="T188" s="57">
        <v>1</v>
      </c>
      <c r="U188" s="57">
        <v>2</v>
      </c>
      <c r="V188" s="57">
        <v>2</v>
      </c>
      <c r="W188" s="57" t="s">
        <v>220</v>
      </c>
      <c r="X188" s="26">
        <f t="shared" si="8"/>
        <v>6</v>
      </c>
      <c r="Y188" s="70">
        <v>19</v>
      </c>
      <c r="Z188" s="56">
        <v>6</v>
      </c>
      <c r="AA188" s="57">
        <v>7</v>
      </c>
      <c r="AB188" s="57">
        <v>1</v>
      </c>
      <c r="AC188" s="26">
        <f t="shared" si="9"/>
        <v>14</v>
      </c>
      <c r="AD188" s="69">
        <v>5</v>
      </c>
      <c r="AE188" s="28">
        <f t="shared" si="10"/>
        <v>44</v>
      </c>
    </row>
    <row r="189" spans="2:31" ht="15.6" x14ac:dyDescent="0.3">
      <c r="B189" s="8">
        <v>175</v>
      </c>
      <c r="C189" s="48" t="s">
        <v>213</v>
      </c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56">
        <v>4</v>
      </c>
      <c r="T189" s="57">
        <v>5</v>
      </c>
      <c r="U189" s="57">
        <v>5</v>
      </c>
      <c r="V189" s="57">
        <v>6</v>
      </c>
      <c r="W189" s="57">
        <v>6</v>
      </c>
      <c r="X189" s="26">
        <f t="shared" si="8"/>
        <v>26</v>
      </c>
      <c r="Y189" s="70">
        <v>17</v>
      </c>
      <c r="Z189" s="56">
        <v>7</v>
      </c>
      <c r="AA189" s="57">
        <v>7</v>
      </c>
      <c r="AB189" s="57">
        <v>2</v>
      </c>
      <c r="AC189" s="26">
        <f t="shared" si="9"/>
        <v>16</v>
      </c>
      <c r="AD189" s="25">
        <v>5</v>
      </c>
      <c r="AE189" s="28">
        <f t="shared" si="10"/>
        <v>64</v>
      </c>
    </row>
    <row r="190" spans="2:31" ht="15.6" x14ac:dyDescent="0.3">
      <c r="B190" s="8">
        <v>176</v>
      </c>
      <c r="C190" s="48" t="s">
        <v>214</v>
      </c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56">
        <v>2</v>
      </c>
      <c r="T190" s="57">
        <v>1</v>
      </c>
      <c r="U190" s="57">
        <v>2</v>
      </c>
      <c r="V190" s="57">
        <v>0</v>
      </c>
      <c r="W190" s="57">
        <v>2</v>
      </c>
      <c r="X190" s="26">
        <f t="shared" si="8"/>
        <v>7</v>
      </c>
      <c r="Y190" s="70">
        <v>16</v>
      </c>
      <c r="Z190" s="56">
        <v>6</v>
      </c>
      <c r="AA190" s="57">
        <v>3</v>
      </c>
      <c r="AB190" s="57">
        <v>1</v>
      </c>
      <c r="AC190" s="26">
        <f t="shared" si="9"/>
        <v>10</v>
      </c>
      <c r="AD190" s="69">
        <v>5</v>
      </c>
      <c r="AE190" s="28">
        <f t="shared" si="10"/>
        <v>38</v>
      </c>
    </row>
    <row r="191" spans="2:31" ht="15.6" x14ac:dyDescent="0.3">
      <c r="B191" s="8">
        <v>177</v>
      </c>
      <c r="C191" s="48" t="s">
        <v>215</v>
      </c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56">
        <v>1</v>
      </c>
      <c r="T191" s="57">
        <v>1</v>
      </c>
      <c r="U191" s="57">
        <v>1</v>
      </c>
      <c r="V191" s="57">
        <v>4</v>
      </c>
      <c r="W191" s="57">
        <v>4</v>
      </c>
      <c r="X191" s="26">
        <f t="shared" si="8"/>
        <v>11</v>
      </c>
      <c r="Y191" s="70">
        <v>17</v>
      </c>
      <c r="Z191" s="56">
        <v>5</v>
      </c>
      <c r="AA191" s="57">
        <v>4</v>
      </c>
      <c r="AB191" s="57">
        <v>1</v>
      </c>
      <c r="AC191" s="26">
        <f t="shared" si="9"/>
        <v>10</v>
      </c>
      <c r="AD191" s="25">
        <v>5</v>
      </c>
      <c r="AE191" s="28">
        <f t="shared" si="10"/>
        <v>43</v>
      </c>
    </row>
    <row r="192" spans="2:31" ht="15.6" x14ac:dyDescent="0.3">
      <c r="B192" s="8">
        <v>178</v>
      </c>
      <c r="C192" s="48" t="s">
        <v>216</v>
      </c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56">
        <v>4</v>
      </c>
      <c r="T192" s="57">
        <v>6</v>
      </c>
      <c r="U192" s="57">
        <v>5</v>
      </c>
      <c r="V192" s="57">
        <v>6</v>
      </c>
      <c r="W192" s="57">
        <v>6</v>
      </c>
      <c r="X192" s="26">
        <f t="shared" si="8"/>
        <v>27</v>
      </c>
      <c r="Y192" s="70">
        <v>15</v>
      </c>
      <c r="Z192" s="56">
        <v>5</v>
      </c>
      <c r="AA192" s="57">
        <v>7</v>
      </c>
      <c r="AB192" s="57">
        <v>3</v>
      </c>
      <c r="AC192" s="26">
        <f t="shared" si="9"/>
        <v>15</v>
      </c>
      <c r="AD192" s="69">
        <v>5</v>
      </c>
      <c r="AE192" s="28">
        <f t="shared" si="10"/>
        <v>62</v>
      </c>
    </row>
    <row r="193" spans="2:31" ht="15.6" x14ac:dyDescent="0.3">
      <c r="B193" s="8">
        <v>179</v>
      </c>
      <c r="C193" s="48" t="s">
        <v>217</v>
      </c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56">
        <v>2</v>
      </c>
      <c r="T193" s="57">
        <v>2</v>
      </c>
      <c r="U193" s="57">
        <v>3</v>
      </c>
      <c r="V193" s="57">
        <v>1</v>
      </c>
      <c r="W193" s="57">
        <v>4</v>
      </c>
      <c r="X193" s="26">
        <f t="shared" si="8"/>
        <v>12</v>
      </c>
      <c r="Y193" s="70">
        <v>15</v>
      </c>
      <c r="Z193" s="56">
        <v>7</v>
      </c>
      <c r="AA193" s="57">
        <v>6</v>
      </c>
      <c r="AB193" s="57">
        <v>1</v>
      </c>
      <c r="AC193" s="26">
        <f t="shared" si="9"/>
        <v>14</v>
      </c>
      <c r="AD193" s="25">
        <v>5</v>
      </c>
      <c r="AE193" s="28">
        <f t="shared" si="10"/>
        <v>46</v>
      </c>
    </row>
    <row r="194" spans="2:31" ht="15.6" x14ac:dyDescent="0.3">
      <c r="B194" s="8">
        <v>180</v>
      </c>
      <c r="C194" s="48" t="s">
        <v>218</v>
      </c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56">
        <v>2</v>
      </c>
      <c r="T194" s="57">
        <v>6</v>
      </c>
      <c r="U194" s="57">
        <v>5</v>
      </c>
      <c r="V194" s="57">
        <v>6</v>
      </c>
      <c r="W194" s="57">
        <v>1</v>
      </c>
      <c r="X194" s="26">
        <f t="shared" si="8"/>
        <v>20</v>
      </c>
      <c r="Y194" s="70">
        <v>17</v>
      </c>
      <c r="Z194" s="56" t="s">
        <v>220</v>
      </c>
      <c r="AA194" s="57">
        <v>8</v>
      </c>
      <c r="AB194" s="57">
        <v>1</v>
      </c>
      <c r="AC194" s="26">
        <f t="shared" si="9"/>
        <v>9</v>
      </c>
      <c r="AD194" s="69">
        <v>5</v>
      </c>
      <c r="AE194" s="28">
        <f t="shared" si="10"/>
        <v>51</v>
      </c>
    </row>
    <row r="195" spans="2:31" ht="15.6" x14ac:dyDescent="0.3">
      <c r="B195" s="8">
        <v>181</v>
      </c>
      <c r="C195" s="48" t="s">
        <v>219</v>
      </c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56">
        <v>1</v>
      </c>
      <c r="T195" s="57" t="s">
        <v>220</v>
      </c>
      <c r="U195" s="57">
        <v>1</v>
      </c>
      <c r="V195" s="57" t="s">
        <v>220</v>
      </c>
      <c r="W195" s="57" t="s">
        <v>220</v>
      </c>
      <c r="X195" s="26">
        <f t="shared" si="8"/>
        <v>2</v>
      </c>
      <c r="Y195" s="70">
        <v>16</v>
      </c>
      <c r="Z195" s="56">
        <v>2</v>
      </c>
      <c r="AA195" s="57" t="s">
        <v>220</v>
      </c>
      <c r="AB195" s="57" t="s">
        <v>220</v>
      </c>
      <c r="AC195" s="26">
        <f t="shared" si="9"/>
        <v>2</v>
      </c>
      <c r="AD195" s="25">
        <v>5</v>
      </c>
      <c r="AE195" s="28">
        <f t="shared" si="10"/>
        <v>25</v>
      </c>
    </row>
    <row r="196" spans="2:31" x14ac:dyDescent="0.3">
      <c r="Z196" s="52"/>
      <c r="AA196" s="52"/>
      <c r="AB196" s="52"/>
    </row>
    <row r="197" spans="2:31" x14ac:dyDescent="0.3">
      <c r="Z197" s="52"/>
      <c r="AA197" s="52"/>
      <c r="AB197" s="52"/>
    </row>
    <row r="198" spans="2:31" x14ac:dyDescent="0.3">
      <c r="Z198" s="52"/>
      <c r="AA198" s="52"/>
      <c r="AB198" s="52"/>
    </row>
    <row r="199" spans="2:31" x14ac:dyDescent="0.3">
      <c r="Z199" s="52"/>
      <c r="AA199" s="52"/>
      <c r="AB199" s="52"/>
    </row>
    <row r="200" spans="2:31" x14ac:dyDescent="0.3">
      <c r="Z200" s="52"/>
      <c r="AA200" s="52"/>
      <c r="AB200" s="52"/>
    </row>
    <row r="201" spans="2:31" x14ac:dyDescent="0.3">
      <c r="Z201" s="52"/>
      <c r="AA201" s="52"/>
      <c r="AB201" s="52"/>
    </row>
    <row r="202" spans="2:31" x14ac:dyDescent="0.3">
      <c r="Z202" s="52"/>
      <c r="AA202" s="52"/>
      <c r="AB202" s="52"/>
    </row>
    <row r="203" spans="2:31" x14ac:dyDescent="0.3">
      <c r="Z203" s="52"/>
      <c r="AA203" s="52"/>
      <c r="AB203" s="52"/>
    </row>
    <row r="204" spans="2:31" x14ac:dyDescent="0.3">
      <c r="Z204" s="52"/>
      <c r="AA204" s="52"/>
      <c r="AB204" s="52"/>
    </row>
  </sheetData>
  <mergeCells count="32">
    <mergeCell ref="AH27:AL27"/>
    <mergeCell ref="Q11:Q13"/>
    <mergeCell ref="S11:X11"/>
    <mergeCell ref="Y11:Y13"/>
    <mergeCell ref="Z11:AC12"/>
    <mergeCell ref="AD11:AD13"/>
    <mergeCell ref="AE11:AE13"/>
    <mergeCell ref="S12:T12"/>
    <mergeCell ref="U12:V12"/>
    <mergeCell ref="X12:X13"/>
    <mergeCell ref="AG18:AL18"/>
    <mergeCell ref="AG19:AH19"/>
    <mergeCell ref="AG20:AG21"/>
    <mergeCell ref="AG22:AG23"/>
    <mergeCell ref="AG24:AG25"/>
    <mergeCell ref="B11:B14"/>
    <mergeCell ref="C11:C14"/>
    <mergeCell ref="D11:J11"/>
    <mergeCell ref="K11:K13"/>
    <mergeCell ref="L11:O12"/>
    <mergeCell ref="P11:P13"/>
    <mergeCell ref="D12:E12"/>
    <mergeCell ref="F12:G12"/>
    <mergeCell ref="H12:I12"/>
    <mergeCell ref="J12:J13"/>
    <mergeCell ref="B7:AE7"/>
    <mergeCell ref="B8:Y8"/>
    <mergeCell ref="Z8:AE8"/>
    <mergeCell ref="B9:S9"/>
    <mergeCell ref="T9:V9"/>
    <mergeCell ref="W9:Y9"/>
    <mergeCell ref="Z9:AE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4FEDF-18ED-4517-B8B5-D716ADD9CAF6}">
  <dimension ref="B6:AM204"/>
  <sheetViews>
    <sheetView zoomScaleNormal="100" workbookViewId="0">
      <selection activeCell="AF14" sqref="AF14"/>
    </sheetView>
  </sheetViews>
  <sheetFormatPr defaultRowHeight="14.4" x14ac:dyDescent="0.3"/>
  <cols>
    <col min="3" max="3" width="14.44140625" bestFit="1" customWidth="1"/>
    <col min="4" max="4" width="0.109375" customWidth="1"/>
    <col min="5" max="9" width="8.88671875" hidden="1" customWidth="1"/>
    <col min="10" max="10" width="17.33203125" hidden="1" customWidth="1"/>
    <col min="11" max="11" width="14.5546875" hidden="1" customWidth="1"/>
    <col min="12" max="14" width="8.88671875" hidden="1" customWidth="1"/>
    <col min="15" max="15" width="15" hidden="1" customWidth="1"/>
    <col min="16" max="16" width="12.109375" hidden="1" customWidth="1"/>
    <col min="17" max="18" width="8.88671875" hidden="1" customWidth="1"/>
    <col min="24" max="24" width="17.33203125" bestFit="1" customWidth="1"/>
    <col min="25" max="25" width="14.5546875" bestFit="1" customWidth="1"/>
    <col min="29" max="29" width="15.5546875" customWidth="1"/>
    <col min="30" max="30" width="12.109375" bestFit="1" customWidth="1"/>
    <col min="32" max="32" width="9.44140625" bestFit="1" customWidth="1"/>
  </cols>
  <sheetData>
    <row r="6" spans="2:39" ht="36" customHeight="1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 t="s">
        <v>220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2:39" ht="32.4" customHeight="1" x14ac:dyDescent="0.3">
      <c r="B7" s="154" t="s">
        <v>0</v>
      </c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92"/>
      <c r="AG7" s="1"/>
      <c r="AH7" s="1"/>
      <c r="AI7" s="1"/>
      <c r="AJ7" s="1"/>
      <c r="AK7" s="1"/>
      <c r="AL7" s="1"/>
      <c r="AM7" s="1"/>
    </row>
    <row r="8" spans="2:39" ht="22.2" customHeight="1" x14ac:dyDescent="0.3">
      <c r="B8" s="156" t="s">
        <v>232</v>
      </c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 t="s">
        <v>233</v>
      </c>
      <c r="AA8" s="156"/>
      <c r="AB8" s="156"/>
      <c r="AC8" s="156"/>
      <c r="AD8" s="156"/>
      <c r="AE8" s="156"/>
      <c r="AF8" s="97"/>
      <c r="AG8" s="1"/>
      <c r="AH8" s="1"/>
      <c r="AI8" s="1"/>
      <c r="AJ8" s="1"/>
      <c r="AK8" s="1"/>
      <c r="AL8" s="1"/>
      <c r="AM8" s="1"/>
    </row>
    <row r="9" spans="2:39" ht="22.2" customHeight="1" x14ac:dyDescent="0.3">
      <c r="B9" s="157" t="s">
        <v>3</v>
      </c>
      <c r="C9" s="158"/>
      <c r="D9" s="158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  <c r="R9" s="158"/>
      <c r="S9" s="159"/>
      <c r="T9" s="157" t="s">
        <v>4</v>
      </c>
      <c r="U9" s="158"/>
      <c r="V9" s="159"/>
      <c r="W9" s="160" t="s">
        <v>5</v>
      </c>
      <c r="X9" s="161"/>
      <c r="Y9" s="162"/>
      <c r="Z9" s="157" t="s">
        <v>234</v>
      </c>
      <c r="AA9" s="158"/>
      <c r="AB9" s="158"/>
      <c r="AC9" s="158"/>
      <c r="AD9" s="158"/>
      <c r="AE9" s="159"/>
      <c r="AF9" s="97"/>
      <c r="AG9" s="1"/>
      <c r="AH9" s="1"/>
      <c r="AI9" s="1"/>
      <c r="AJ9" s="1"/>
      <c r="AK9" s="1"/>
      <c r="AL9" s="1"/>
      <c r="AM9" s="1"/>
    </row>
    <row r="10" spans="2:39" x14ac:dyDescent="0.3"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1"/>
      <c r="Q10" s="1" t="s">
        <v>220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2:39" ht="15.6" x14ac:dyDescent="0.3">
      <c r="B11" s="152" t="s">
        <v>7</v>
      </c>
      <c r="C11" s="152" t="s">
        <v>8</v>
      </c>
      <c r="D11" s="164" t="s">
        <v>9</v>
      </c>
      <c r="E11" s="164"/>
      <c r="F11" s="164"/>
      <c r="G11" s="164"/>
      <c r="H11" s="164"/>
      <c r="I11" s="164"/>
      <c r="J11" s="164"/>
      <c r="K11" s="165" t="s">
        <v>222</v>
      </c>
      <c r="L11" s="164" t="s">
        <v>223</v>
      </c>
      <c r="M11" s="164"/>
      <c r="N11" s="164"/>
      <c r="O11" s="164"/>
      <c r="P11" s="165" t="s">
        <v>224</v>
      </c>
      <c r="Q11" s="165" t="s">
        <v>225</v>
      </c>
      <c r="R11" s="6"/>
      <c r="S11" s="164" t="s">
        <v>10</v>
      </c>
      <c r="T11" s="164"/>
      <c r="U11" s="164"/>
      <c r="V11" s="164"/>
      <c r="W11" s="164"/>
      <c r="X11" s="164"/>
      <c r="Y11" s="165" t="s">
        <v>11</v>
      </c>
      <c r="Z11" s="164" t="s">
        <v>12</v>
      </c>
      <c r="AA11" s="164"/>
      <c r="AB11" s="164"/>
      <c r="AC11" s="164"/>
      <c r="AD11" s="165" t="s">
        <v>13</v>
      </c>
      <c r="AE11" s="165" t="s">
        <v>14</v>
      </c>
      <c r="AF11" s="98"/>
      <c r="AG11" s="1"/>
      <c r="AH11" s="1"/>
      <c r="AI11" s="1"/>
      <c r="AJ11" s="1"/>
      <c r="AK11" s="1"/>
      <c r="AL11" s="1"/>
      <c r="AM11" s="1"/>
    </row>
    <row r="12" spans="2:39" ht="15.6" x14ac:dyDescent="0.3">
      <c r="B12" s="152"/>
      <c r="C12" s="152"/>
      <c r="D12" s="152">
        <v>1</v>
      </c>
      <c r="E12" s="152"/>
      <c r="F12" s="152">
        <v>2</v>
      </c>
      <c r="G12" s="152"/>
      <c r="H12" s="152">
        <v>3</v>
      </c>
      <c r="I12" s="152"/>
      <c r="J12" s="165" t="s">
        <v>226</v>
      </c>
      <c r="K12" s="165"/>
      <c r="L12" s="164"/>
      <c r="M12" s="164"/>
      <c r="N12" s="164"/>
      <c r="O12" s="164"/>
      <c r="P12" s="165"/>
      <c r="Q12" s="165"/>
      <c r="R12" s="6"/>
      <c r="S12" s="160">
        <v>1</v>
      </c>
      <c r="T12" s="162"/>
      <c r="U12" s="160">
        <v>2</v>
      </c>
      <c r="V12" s="162"/>
      <c r="W12" s="4">
        <v>3</v>
      </c>
      <c r="X12" s="166" t="s">
        <v>15</v>
      </c>
      <c r="Y12" s="165"/>
      <c r="Z12" s="164"/>
      <c r="AA12" s="164"/>
      <c r="AB12" s="164"/>
      <c r="AC12" s="164"/>
      <c r="AD12" s="165"/>
      <c r="AE12" s="165"/>
      <c r="AF12" s="98"/>
      <c r="AG12" s="1"/>
      <c r="AH12" s="1"/>
      <c r="AI12" s="1"/>
      <c r="AJ12" s="1"/>
      <c r="AK12" s="1"/>
      <c r="AL12" s="1"/>
      <c r="AM12" s="1"/>
    </row>
    <row r="13" spans="2:39" ht="31.2" x14ac:dyDescent="0.3">
      <c r="B13" s="152"/>
      <c r="C13" s="152"/>
      <c r="D13" s="4" t="s">
        <v>16</v>
      </c>
      <c r="E13" s="4" t="s">
        <v>44</v>
      </c>
      <c r="F13" s="4" t="s">
        <v>16</v>
      </c>
      <c r="G13" s="4" t="s">
        <v>44</v>
      </c>
      <c r="H13" s="4" t="s">
        <v>16</v>
      </c>
      <c r="I13" s="4" t="s">
        <v>44</v>
      </c>
      <c r="J13" s="165"/>
      <c r="K13" s="165"/>
      <c r="L13" s="4">
        <v>1</v>
      </c>
      <c r="M13" s="4">
        <v>2</v>
      </c>
      <c r="N13" s="4">
        <v>3</v>
      </c>
      <c r="O13" s="7" t="s">
        <v>23</v>
      </c>
      <c r="P13" s="165"/>
      <c r="Q13" s="165"/>
      <c r="R13" s="6"/>
      <c r="S13" s="4" t="s">
        <v>17</v>
      </c>
      <c r="T13" s="4" t="s">
        <v>18</v>
      </c>
      <c r="U13" s="4" t="s">
        <v>17</v>
      </c>
      <c r="V13" s="4" t="s">
        <v>18</v>
      </c>
      <c r="W13" s="4" t="s">
        <v>17</v>
      </c>
      <c r="X13" s="166"/>
      <c r="Y13" s="165"/>
      <c r="Z13" s="4">
        <v>1</v>
      </c>
      <c r="AA13" s="4">
        <v>2</v>
      </c>
      <c r="AB13" s="4">
        <v>3</v>
      </c>
      <c r="AC13" s="7" t="s">
        <v>23</v>
      </c>
      <c r="AD13" s="165"/>
      <c r="AE13" s="165"/>
      <c r="AF13" s="98"/>
      <c r="AG13" s="1"/>
      <c r="AH13" s="1"/>
      <c r="AI13" s="1"/>
      <c r="AJ13" s="1"/>
      <c r="AK13" s="1"/>
      <c r="AL13" s="1"/>
      <c r="AM13" s="1"/>
    </row>
    <row r="14" spans="2:39" ht="21.6" customHeight="1" x14ac:dyDescent="0.3">
      <c r="B14" s="152"/>
      <c r="C14" s="152"/>
      <c r="D14" s="4" t="s">
        <v>24</v>
      </c>
      <c r="E14" s="4" t="s">
        <v>24</v>
      </c>
      <c r="F14" s="4" t="s">
        <v>24</v>
      </c>
      <c r="G14" s="4" t="s">
        <v>227</v>
      </c>
      <c r="H14" s="4" t="s">
        <v>24</v>
      </c>
      <c r="I14" s="4" t="s">
        <v>228</v>
      </c>
      <c r="J14" s="5" t="s">
        <v>26</v>
      </c>
      <c r="K14" s="5" t="s">
        <v>27</v>
      </c>
      <c r="L14" s="4" t="s">
        <v>24</v>
      </c>
      <c r="M14" s="4" t="s">
        <v>24</v>
      </c>
      <c r="N14" s="4" t="s">
        <v>228</v>
      </c>
      <c r="O14" s="5" t="s">
        <v>27</v>
      </c>
      <c r="P14" s="5" t="s">
        <v>29</v>
      </c>
      <c r="Q14" s="5" t="s">
        <v>30</v>
      </c>
      <c r="R14" s="6"/>
      <c r="S14" s="4" t="s">
        <v>25</v>
      </c>
      <c r="T14" s="4" t="s">
        <v>25</v>
      </c>
      <c r="U14" s="4" t="s">
        <v>25</v>
      </c>
      <c r="V14" s="4" t="s">
        <v>25</v>
      </c>
      <c r="W14" s="4" t="s">
        <v>25</v>
      </c>
      <c r="X14" s="5" t="s">
        <v>26</v>
      </c>
      <c r="Y14" s="5" t="s">
        <v>27</v>
      </c>
      <c r="Z14" s="4" t="s">
        <v>24</v>
      </c>
      <c r="AA14" s="4" t="s">
        <v>24</v>
      </c>
      <c r="AB14" s="4" t="s">
        <v>228</v>
      </c>
      <c r="AC14" s="5" t="s">
        <v>27</v>
      </c>
      <c r="AD14" s="5" t="s">
        <v>29</v>
      </c>
      <c r="AE14" s="102" t="s">
        <v>30</v>
      </c>
      <c r="AF14" s="100" t="s">
        <v>235</v>
      </c>
      <c r="AG14" s="1"/>
      <c r="AH14" s="1"/>
      <c r="AI14" s="1"/>
      <c r="AJ14" s="1"/>
      <c r="AK14" s="1"/>
      <c r="AL14" s="1"/>
      <c r="AM14" s="1"/>
    </row>
    <row r="15" spans="2:39" ht="19.2" customHeight="1" x14ac:dyDescent="0.3">
      <c r="B15" s="8">
        <v>1</v>
      </c>
      <c r="C15" s="9" t="s">
        <v>31</v>
      </c>
      <c r="D15" s="8"/>
      <c r="E15" s="10"/>
      <c r="F15" s="10"/>
      <c r="G15" s="10"/>
      <c r="H15" s="10"/>
      <c r="I15" s="11"/>
      <c r="J15" s="10">
        <f>SUM(D15:I15)</f>
        <v>0</v>
      </c>
      <c r="K15" s="12"/>
      <c r="L15" s="10"/>
      <c r="M15" s="10"/>
      <c r="N15" s="10"/>
      <c r="O15" s="10">
        <f>SUM(L15:N15)</f>
        <v>0</v>
      </c>
      <c r="P15" s="10"/>
      <c r="Q15" s="13"/>
      <c r="R15" s="14"/>
      <c r="S15" s="8">
        <v>5</v>
      </c>
      <c r="T15" s="10">
        <v>6</v>
      </c>
      <c r="U15" s="10">
        <v>6</v>
      </c>
      <c r="V15" s="10">
        <v>6</v>
      </c>
      <c r="W15" s="11">
        <v>5</v>
      </c>
      <c r="X15" s="26">
        <f>SUM(S15:W15)</f>
        <v>28</v>
      </c>
      <c r="Y15" s="26">
        <v>15</v>
      </c>
      <c r="Z15" s="10">
        <v>6</v>
      </c>
      <c r="AA15" s="10">
        <v>6</v>
      </c>
      <c r="AB15" s="10">
        <v>3</v>
      </c>
      <c r="AC15" s="26">
        <f>SUM(Z15:AB15)</f>
        <v>15</v>
      </c>
      <c r="AD15" s="25">
        <v>5</v>
      </c>
      <c r="AE15" s="93">
        <f>SUM(X15,Y15,AC15,AD15)</f>
        <v>63</v>
      </c>
      <c r="AF15" s="101">
        <f>(X15/3)+(Y15/2)+(AC15/4)+(AD15)</f>
        <v>25.583333333333336</v>
      </c>
      <c r="AG15" s="99"/>
      <c r="AH15" s="1"/>
      <c r="AI15" s="1"/>
      <c r="AJ15" s="1"/>
      <c r="AK15" s="1"/>
      <c r="AL15" s="1"/>
      <c r="AM15" s="1"/>
    </row>
    <row r="16" spans="2:39" ht="19.2" customHeight="1" x14ac:dyDescent="0.3">
      <c r="B16" s="8">
        <v>2</v>
      </c>
      <c r="C16" s="15" t="s">
        <v>32</v>
      </c>
      <c r="D16" s="8"/>
      <c r="E16" s="10"/>
      <c r="F16" s="10"/>
      <c r="G16" s="10"/>
      <c r="H16" s="10"/>
      <c r="I16" s="11"/>
      <c r="J16" s="10">
        <f t="shared" ref="J16:J72" si="0">SUM(D16:I16)</f>
        <v>0</v>
      </c>
      <c r="K16" s="12"/>
      <c r="L16" s="10"/>
      <c r="M16" s="10"/>
      <c r="N16" s="10"/>
      <c r="O16" s="10">
        <f t="shared" ref="O16:O72" si="1">SUM(L16:N16)</f>
        <v>0</v>
      </c>
      <c r="P16" s="10"/>
      <c r="Q16" s="13"/>
      <c r="R16" s="16"/>
      <c r="S16" s="26">
        <v>3</v>
      </c>
      <c r="T16" s="26">
        <v>4</v>
      </c>
      <c r="U16" s="26">
        <v>4</v>
      </c>
      <c r="V16" s="26">
        <v>5</v>
      </c>
      <c r="W16" s="26">
        <v>4</v>
      </c>
      <c r="X16" s="26">
        <f t="shared" ref="X16:X79" si="2">SUM(S16:W16)</f>
        <v>20</v>
      </c>
      <c r="Y16" s="26">
        <v>10</v>
      </c>
      <c r="Z16" s="27">
        <v>6</v>
      </c>
      <c r="AA16" s="27"/>
      <c r="AB16" s="27">
        <v>4</v>
      </c>
      <c r="AC16" s="26">
        <f t="shared" ref="AC16:AC79" si="3">SUM(Z16:AB16)</f>
        <v>10</v>
      </c>
      <c r="AD16" s="25">
        <v>5</v>
      </c>
      <c r="AE16" s="93">
        <f t="shared" ref="AE16:AE79" si="4">SUM(X16,Y16,AC16,AD16)</f>
        <v>45</v>
      </c>
      <c r="AF16" s="101">
        <f t="shared" ref="AF16:AF79" si="5">(X16/3)+(Y16/2)+(AC16/4)+(AD16)</f>
        <v>19.166666666666668</v>
      </c>
      <c r="AG16" s="1"/>
      <c r="AH16" s="1"/>
    </row>
    <row r="17" spans="2:39" ht="19.2" customHeight="1" x14ac:dyDescent="0.3">
      <c r="B17" s="8">
        <v>3</v>
      </c>
      <c r="C17" s="15" t="s">
        <v>33</v>
      </c>
      <c r="D17" s="8"/>
      <c r="E17" s="10"/>
      <c r="F17" s="10"/>
      <c r="G17" s="17"/>
      <c r="H17" s="10"/>
      <c r="I17" s="11"/>
      <c r="J17" s="10">
        <f t="shared" si="0"/>
        <v>0</v>
      </c>
      <c r="K17" s="12"/>
      <c r="L17" s="10"/>
      <c r="M17" s="10"/>
      <c r="N17" s="10"/>
      <c r="O17" s="10">
        <f t="shared" si="1"/>
        <v>0</v>
      </c>
      <c r="P17" s="10"/>
      <c r="Q17" s="13"/>
      <c r="R17" s="16"/>
      <c r="S17" s="8">
        <v>6</v>
      </c>
      <c r="T17" s="10">
        <v>6</v>
      </c>
      <c r="U17" s="10">
        <v>5</v>
      </c>
      <c r="V17" s="10">
        <v>6</v>
      </c>
      <c r="W17" s="11">
        <v>6</v>
      </c>
      <c r="X17" s="26">
        <f t="shared" si="2"/>
        <v>29</v>
      </c>
      <c r="Y17" s="26">
        <v>14</v>
      </c>
      <c r="Z17" s="10">
        <v>7</v>
      </c>
      <c r="AA17" s="10">
        <v>7</v>
      </c>
      <c r="AB17" s="10">
        <v>3</v>
      </c>
      <c r="AC17" s="26">
        <f t="shared" si="3"/>
        <v>17</v>
      </c>
      <c r="AD17" s="25">
        <v>5</v>
      </c>
      <c r="AE17" s="93">
        <f t="shared" si="4"/>
        <v>65</v>
      </c>
      <c r="AF17" s="101">
        <f t="shared" si="5"/>
        <v>25.916666666666664</v>
      </c>
      <c r="AG17" s="1"/>
      <c r="AH17" s="1"/>
    </row>
    <row r="18" spans="2:39" ht="19.2" customHeight="1" x14ac:dyDescent="0.3">
      <c r="B18" s="8">
        <v>4</v>
      </c>
      <c r="C18" s="15" t="s">
        <v>34</v>
      </c>
      <c r="D18" s="8"/>
      <c r="E18" s="10"/>
      <c r="F18" s="10"/>
      <c r="G18" s="17"/>
      <c r="H18" s="17"/>
      <c r="I18" s="11"/>
      <c r="J18" s="10">
        <f t="shared" si="0"/>
        <v>0</v>
      </c>
      <c r="K18" s="12"/>
      <c r="L18" s="10"/>
      <c r="M18" s="10"/>
      <c r="N18" s="10"/>
      <c r="O18" s="10">
        <f t="shared" si="1"/>
        <v>0</v>
      </c>
      <c r="P18" s="10"/>
      <c r="Q18" s="13"/>
      <c r="R18" s="16"/>
      <c r="S18" s="21">
        <v>6</v>
      </c>
      <c r="T18" s="24">
        <v>6</v>
      </c>
      <c r="U18" s="24">
        <v>6</v>
      </c>
      <c r="V18" s="24">
        <v>6</v>
      </c>
      <c r="W18" s="30">
        <v>5</v>
      </c>
      <c r="X18" s="96">
        <f t="shared" si="2"/>
        <v>29</v>
      </c>
      <c r="Y18" s="96">
        <v>14</v>
      </c>
      <c r="Z18" s="24">
        <v>7</v>
      </c>
      <c r="AA18" s="24">
        <v>7</v>
      </c>
      <c r="AB18" s="24">
        <v>3</v>
      </c>
      <c r="AC18" s="26">
        <f t="shared" si="3"/>
        <v>17</v>
      </c>
      <c r="AD18" s="25">
        <v>5</v>
      </c>
      <c r="AE18" s="93">
        <f t="shared" si="4"/>
        <v>65</v>
      </c>
      <c r="AF18" s="101">
        <f t="shared" si="5"/>
        <v>25.916666666666664</v>
      </c>
      <c r="AG18" s="1"/>
      <c r="AH18" s="167" t="s">
        <v>35</v>
      </c>
      <c r="AI18" s="167"/>
      <c r="AJ18" s="167"/>
      <c r="AK18" s="167"/>
      <c r="AL18" s="167"/>
      <c r="AM18" s="167"/>
    </row>
    <row r="19" spans="2:39" ht="19.2" customHeight="1" x14ac:dyDescent="0.3">
      <c r="B19" s="8">
        <v>5</v>
      </c>
      <c r="C19" s="15" t="s">
        <v>36</v>
      </c>
      <c r="D19" s="8"/>
      <c r="E19" s="10"/>
      <c r="F19" s="10"/>
      <c r="G19" s="17"/>
      <c r="H19" s="17"/>
      <c r="I19" s="11"/>
      <c r="J19" s="10">
        <f t="shared" si="0"/>
        <v>0</v>
      </c>
      <c r="K19" s="12"/>
      <c r="L19" s="10"/>
      <c r="M19" s="10"/>
      <c r="N19" s="10"/>
      <c r="O19" s="10">
        <f t="shared" si="1"/>
        <v>0</v>
      </c>
      <c r="P19" s="10"/>
      <c r="Q19" s="13"/>
      <c r="R19" s="95"/>
      <c r="S19" s="48"/>
      <c r="T19" s="48"/>
      <c r="U19" s="48"/>
      <c r="V19" s="48"/>
      <c r="W19" s="48"/>
      <c r="X19" s="94"/>
      <c r="Y19" s="94">
        <v>0</v>
      </c>
      <c r="Z19" s="31"/>
      <c r="AA19" s="31"/>
      <c r="AB19" s="31"/>
      <c r="AC19" s="26">
        <f t="shared" si="3"/>
        <v>0</v>
      </c>
      <c r="AD19" s="25">
        <v>5</v>
      </c>
      <c r="AE19" s="93">
        <f t="shared" si="4"/>
        <v>5</v>
      </c>
      <c r="AF19" s="101">
        <f t="shared" si="5"/>
        <v>5</v>
      </c>
      <c r="AG19" s="1"/>
      <c r="AH19" s="168" t="s">
        <v>37</v>
      </c>
      <c r="AI19" s="169"/>
      <c r="AJ19" s="11" t="s">
        <v>38</v>
      </c>
      <c r="AK19" s="30" t="s">
        <v>39</v>
      </c>
      <c r="AL19" s="11" t="s">
        <v>40</v>
      </c>
      <c r="AM19" s="20" t="s">
        <v>41</v>
      </c>
    </row>
    <row r="20" spans="2:39" ht="19.2" customHeight="1" x14ac:dyDescent="0.3">
      <c r="B20" s="8">
        <v>6</v>
      </c>
      <c r="C20" s="15" t="s">
        <v>42</v>
      </c>
      <c r="D20" s="8"/>
      <c r="E20" s="10"/>
      <c r="F20" s="10"/>
      <c r="G20" s="17"/>
      <c r="H20" s="17"/>
      <c r="I20" s="11"/>
      <c r="J20" s="10">
        <f t="shared" si="0"/>
        <v>0</v>
      </c>
      <c r="K20" s="12"/>
      <c r="L20" s="10"/>
      <c r="M20" s="10"/>
      <c r="N20" s="10"/>
      <c r="O20" s="10">
        <f t="shared" si="1"/>
        <v>0</v>
      </c>
      <c r="P20" s="10"/>
      <c r="Q20" s="13"/>
      <c r="R20" s="16"/>
      <c r="S20" s="8">
        <v>4</v>
      </c>
      <c r="T20" s="10">
        <v>4</v>
      </c>
      <c r="U20" s="10">
        <v>1</v>
      </c>
      <c r="V20" s="10">
        <v>4</v>
      </c>
      <c r="W20" s="11">
        <v>2</v>
      </c>
      <c r="X20" s="26">
        <f>SUM(S20:W20)</f>
        <v>15</v>
      </c>
      <c r="Y20" s="26">
        <v>18</v>
      </c>
      <c r="Z20" s="10">
        <v>6</v>
      </c>
      <c r="AA20" s="10">
        <v>4</v>
      </c>
      <c r="AB20" s="10">
        <v>3</v>
      </c>
      <c r="AC20" s="26">
        <f t="shared" si="3"/>
        <v>13</v>
      </c>
      <c r="AD20" s="25">
        <v>5</v>
      </c>
      <c r="AE20" s="93">
        <f t="shared" si="4"/>
        <v>51</v>
      </c>
      <c r="AF20" s="101">
        <f t="shared" si="5"/>
        <v>22.25</v>
      </c>
      <c r="AG20" s="1"/>
      <c r="AH20" s="170">
        <v>1</v>
      </c>
      <c r="AI20" s="10" t="s">
        <v>16</v>
      </c>
      <c r="AJ20" s="13"/>
      <c r="AK20" s="31"/>
      <c r="AL20" s="10"/>
      <c r="AM20" s="10"/>
    </row>
    <row r="21" spans="2:39" ht="19.2" customHeight="1" x14ac:dyDescent="0.3">
      <c r="B21" s="8">
        <v>7</v>
      </c>
      <c r="C21" s="15" t="s">
        <v>43</v>
      </c>
      <c r="D21" s="8"/>
      <c r="E21" s="10"/>
      <c r="F21" s="10"/>
      <c r="G21" s="10"/>
      <c r="H21" s="10"/>
      <c r="I21" s="11"/>
      <c r="J21" s="10">
        <f t="shared" si="0"/>
        <v>0</v>
      </c>
      <c r="K21" s="12"/>
      <c r="L21" s="10"/>
      <c r="M21" s="10"/>
      <c r="N21" s="10"/>
      <c r="O21" s="10">
        <f t="shared" si="1"/>
        <v>0</v>
      </c>
      <c r="P21" s="10"/>
      <c r="Q21" s="13"/>
      <c r="R21" s="16"/>
      <c r="S21" s="8">
        <v>5</v>
      </c>
      <c r="T21" s="10">
        <v>5</v>
      </c>
      <c r="U21" s="10">
        <v>4</v>
      </c>
      <c r="V21" s="10">
        <v>6</v>
      </c>
      <c r="W21" s="11">
        <v>5</v>
      </c>
      <c r="X21" s="26">
        <f t="shared" si="2"/>
        <v>25</v>
      </c>
      <c r="Y21" s="26">
        <v>17</v>
      </c>
      <c r="Z21" s="10">
        <v>6</v>
      </c>
      <c r="AA21" s="10">
        <v>6</v>
      </c>
      <c r="AB21" s="10">
        <v>3</v>
      </c>
      <c r="AC21" s="26">
        <f t="shared" si="3"/>
        <v>15</v>
      </c>
      <c r="AD21" s="25">
        <v>5</v>
      </c>
      <c r="AE21" s="93">
        <f t="shared" si="4"/>
        <v>62</v>
      </c>
      <c r="AF21" s="101">
        <f t="shared" si="5"/>
        <v>25.583333333333336</v>
      </c>
      <c r="AG21" s="1"/>
      <c r="AH21" s="171"/>
      <c r="AI21" s="10" t="s">
        <v>44</v>
      </c>
      <c r="AJ21" s="13"/>
      <c r="AK21" s="32"/>
      <c r="AL21" s="10"/>
      <c r="AM21" s="10"/>
    </row>
    <row r="22" spans="2:39" ht="19.2" customHeight="1" x14ac:dyDescent="0.3">
      <c r="B22" s="8">
        <v>8</v>
      </c>
      <c r="C22" s="15" t="s">
        <v>45</v>
      </c>
      <c r="D22" s="8"/>
      <c r="E22" s="10"/>
      <c r="F22" s="10"/>
      <c r="G22" s="10"/>
      <c r="H22" s="10"/>
      <c r="I22" s="11"/>
      <c r="J22" s="10">
        <f t="shared" si="0"/>
        <v>0</v>
      </c>
      <c r="K22" s="12"/>
      <c r="L22" s="10"/>
      <c r="M22" s="10"/>
      <c r="N22" s="10"/>
      <c r="O22" s="10">
        <f t="shared" si="1"/>
        <v>0</v>
      </c>
      <c r="P22" s="10"/>
      <c r="Q22" s="13"/>
      <c r="R22" s="16"/>
      <c r="S22" s="8">
        <v>3</v>
      </c>
      <c r="T22" s="10">
        <v>5</v>
      </c>
      <c r="U22" s="10">
        <v>5</v>
      </c>
      <c r="V22" s="10">
        <v>6</v>
      </c>
      <c r="W22" s="11">
        <v>5</v>
      </c>
      <c r="X22" s="26">
        <f t="shared" si="2"/>
        <v>24</v>
      </c>
      <c r="Y22" s="26">
        <v>17</v>
      </c>
      <c r="Z22" s="10">
        <v>6</v>
      </c>
      <c r="AA22" s="10">
        <v>5</v>
      </c>
      <c r="AB22" s="10">
        <v>3</v>
      </c>
      <c r="AC22" s="26">
        <f t="shared" si="3"/>
        <v>14</v>
      </c>
      <c r="AD22" s="25">
        <v>5</v>
      </c>
      <c r="AE22" s="93">
        <f t="shared" si="4"/>
        <v>60</v>
      </c>
      <c r="AF22" s="101">
        <f t="shared" si="5"/>
        <v>25</v>
      </c>
      <c r="AG22" s="1"/>
      <c r="AH22" s="170">
        <v>2</v>
      </c>
      <c r="AI22" s="10" t="s">
        <v>16</v>
      </c>
      <c r="AJ22" s="13"/>
      <c r="AK22" s="32"/>
      <c r="AL22" s="10"/>
      <c r="AM22" s="10"/>
    </row>
    <row r="23" spans="2:39" ht="19.2" customHeight="1" x14ac:dyDescent="0.3">
      <c r="B23" s="8">
        <v>9</v>
      </c>
      <c r="C23" s="15" t="s">
        <v>46</v>
      </c>
      <c r="D23" s="8"/>
      <c r="E23" s="10"/>
      <c r="F23" s="10"/>
      <c r="G23" s="10"/>
      <c r="H23" s="10"/>
      <c r="I23" s="11"/>
      <c r="J23" s="10">
        <f t="shared" si="0"/>
        <v>0</v>
      </c>
      <c r="K23" s="12"/>
      <c r="L23" s="10"/>
      <c r="M23" s="10"/>
      <c r="N23" s="10"/>
      <c r="O23" s="10">
        <f t="shared" si="1"/>
        <v>0</v>
      </c>
      <c r="P23" s="10"/>
      <c r="Q23" s="13"/>
      <c r="R23" s="16"/>
      <c r="S23" s="8">
        <v>6</v>
      </c>
      <c r="T23" s="10">
        <v>6</v>
      </c>
      <c r="U23" s="10">
        <v>3</v>
      </c>
      <c r="V23" s="10">
        <v>6</v>
      </c>
      <c r="W23" s="11">
        <v>5</v>
      </c>
      <c r="X23" s="26">
        <f t="shared" si="2"/>
        <v>26</v>
      </c>
      <c r="Y23" s="26">
        <v>13</v>
      </c>
      <c r="Z23" s="10">
        <v>7</v>
      </c>
      <c r="AA23" s="10">
        <v>6</v>
      </c>
      <c r="AB23" s="10">
        <v>3</v>
      </c>
      <c r="AC23" s="26">
        <f t="shared" si="3"/>
        <v>16</v>
      </c>
      <c r="AD23" s="25">
        <v>5</v>
      </c>
      <c r="AE23" s="93">
        <f t="shared" si="4"/>
        <v>60</v>
      </c>
      <c r="AF23" s="101">
        <f t="shared" si="5"/>
        <v>24.166666666666664</v>
      </c>
      <c r="AG23" s="1"/>
      <c r="AH23" s="171"/>
      <c r="AI23" s="10" t="s">
        <v>44</v>
      </c>
      <c r="AJ23" s="13"/>
      <c r="AK23" s="32"/>
      <c r="AL23" s="10"/>
      <c r="AM23" s="10"/>
    </row>
    <row r="24" spans="2:39" ht="19.2" customHeight="1" x14ac:dyDescent="0.3">
      <c r="B24" s="8">
        <v>10</v>
      </c>
      <c r="C24" s="15" t="s">
        <v>47</v>
      </c>
      <c r="D24" s="8"/>
      <c r="E24" s="10"/>
      <c r="F24" s="10"/>
      <c r="G24" s="17"/>
      <c r="H24" s="10"/>
      <c r="I24" s="11"/>
      <c r="J24" s="10">
        <f t="shared" si="0"/>
        <v>0</v>
      </c>
      <c r="K24" s="12"/>
      <c r="L24" s="10"/>
      <c r="M24" s="10"/>
      <c r="N24" s="10"/>
      <c r="O24" s="10">
        <f t="shared" si="1"/>
        <v>0</v>
      </c>
      <c r="P24" s="10"/>
      <c r="Q24" s="13"/>
      <c r="R24" s="16"/>
      <c r="S24" s="8">
        <v>5</v>
      </c>
      <c r="T24" s="10">
        <v>6</v>
      </c>
      <c r="U24" s="10">
        <v>4</v>
      </c>
      <c r="V24" s="10">
        <v>6</v>
      </c>
      <c r="W24" s="11">
        <v>4</v>
      </c>
      <c r="X24" s="26">
        <f t="shared" si="2"/>
        <v>25</v>
      </c>
      <c r="Y24" s="26">
        <v>10</v>
      </c>
      <c r="Z24" s="10">
        <v>8</v>
      </c>
      <c r="AA24" s="10">
        <v>4</v>
      </c>
      <c r="AB24" s="10">
        <v>3</v>
      </c>
      <c r="AC24" s="26">
        <f t="shared" si="3"/>
        <v>15</v>
      </c>
      <c r="AD24" s="25">
        <v>5</v>
      </c>
      <c r="AE24" s="93">
        <f t="shared" si="4"/>
        <v>55</v>
      </c>
      <c r="AF24" s="101">
        <f t="shared" si="5"/>
        <v>22.083333333333336</v>
      </c>
      <c r="AG24" s="1"/>
      <c r="AH24" s="170">
        <v>3</v>
      </c>
      <c r="AI24" s="10" t="s">
        <v>16</v>
      </c>
      <c r="AJ24" s="13"/>
      <c r="AK24" s="32"/>
      <c r="AL24" s="10"/>
      <c r="AM24" s="10"/>
    </row>
    <row r="25" spans="2:39" ht="19.2" customHeight="1" x14ac:dyDescent="0.3">
      <c r="B25" s="8">
        <v>11</v>
      </c>
      <c r="C25" s="15" t="s">
        <v>48</v>
      </c>
      <c r="D25" s="8"/>
      <c r="E25" s="10"/>
      <c r="F25" s="10"/>
      <c r="G25" s="10"/>
      <c r="H25" s="10"/>
      <c r="I25" s="11"/>
      <c r="J25" s="10">
        <f t="shared" si="0"/>
        <v>0</v>
      </c>
      <c r="K25" s="12"/>
      <c r="L25" s="10"/>
      <c r="M25" s="10"/>
      <c r="N25" s="10"/>
      <c r="O25" s="10">
        <f t="shared" si="1"/>
        <v>0</v>
      </c>
      <c r="P25" s="10"/>
      <c r="Q25" s="13"/>
      <c r="R25" s="16"/>
      <c r="S25" s="8">
        <v>4</v>
      </c>
      <c r="T25" s="10">
        <v>6</v>
      </c>
      <c r="U25" s="10">
        <v>4</v>
      </c>
      <c r="V25" s="10">
        <v>6</v>
      </c>
      <c r="W25" s="11">
        <v>4</v>
      </c>
      <c r="X25" s="26">
        <f t="shared" si="2"/>
        <v>24</v>
      </c>
      <c r="Y25" s="26">
        <v>18</v>
      </c>
      <c r="Z25" s="10">
        <v>7</v>
      </c>
      <c r="AA25" s="10">
        <v>5</v>
      </c>
      <c r="AB25" s="10">
        <v>4</v>
      </c>
      <c r="AC25" s="26">
        <f t="shared" si="3"/>
        <v>16</v>
      </c>
      <c r="AD25" s="25">
        <v>5</v>
      </c>
      <c r="AE25" s="93">
        <f t="shared" si="4"/>
        <v>63</v>
      </c>
      <c r="AF25" s="101">
        <f t="shared" si="5"/>
        <v>26</v>
      </c>
      <c r="AG25" s="1"/>
      <c r="AH25" s="171"/>
      <c r="AI25" s="10" t="s">
        <v>44</v>
      </c>
      <c r="AJ25" s="13"/>
      <c r="AK25" s="32"/>
      <c r="AL25" s="10"/>
      <c r="AM25" s="10"/>
    </row>
    <row r="26" spans="2:39" ht="19.2" customHeight="1" x14ac:dyDescent="0.3">
      <c r="B26" s="8">
        <v>12</v>
      </c>
      <c r="C26" s="15" t="s">
        <v>49</v>
      </c>
      <c r="D26" s="8"/>
      <c r="E26" s="10"/>
      <c r="F26" s="10"/>
      <c r="G26" s="17"/>
      <c r="H26" s="17"/>
      <c r="I26" s="11"/>
      <c r="J26" s="10">
        <f t="shared" si="0"/>
        <v>0</v>
      </c>
      <c r="K26" s="12"/>
      <c r="L26" s="10"/>
      <c r="M26" s="10"/>
      <c r="N26" s="10"/>
      <c r="O26" s="10">
        <f t="shared" si="1"/>
        <v>0</v>
      </c>
      <c r="P26" s="10"/>
      <c r="Q26" s="13"/>
      <c r="R26" s="16"/>
      <c r="S26" s="8">
        <v>5</v>
      </c>
      <c r="T26" s="10">
        <v>6</v>
      </c>
      <c r="U26" s="10">
        <v>5</v>
      </c>
      <c r="V26" s="10">
        <v>4</v>
      </c>
      <c r="W26" s="11">
        <v>4</v>
      </c>
      <c r="X26" s="26">
        <f t="shared" si="2"/>
        <v>24</v>
      </c>
      <c r="Y26" s="26">
        <v>12</v>
      </c>
      <c r="Z26" s="10">
        <v>6</v>
      </c>
      <c r="AA26" s="10">
        <v>5</v>
      </c>
      <c r="AB26" s="10">
        <v>3</v>
      </c>
      <c r="AC26" s="26">
        <f t="shared" si="3"/>
        <v>14</v>
      </c>
      <c r="AD26" s="25">
        <v>5</v>
      </c>
      <c r="AE26" s="93">
        <f t="shared" si="4"/>
        <v>55</v>
      </c>
      <c r="AF26" s="101">
        <f t="shared" si="5"/>
        <v>22.5</v>
      </c>
      <c r="AG26" s="1"/>
      <c r="AH26" s="1"/>
      <c r="AI26" s="1"/>
      <c r="AJ26" s="1"/>
      <c r="AK26" s="1"/>
      <c r="AL26" s="1"/>
      <c r="AM26" s="1"/>
    </row>
    <row r="27" spans="2:39" ht="19.2" customHeight="1" x14ac:dyDescent="0.3">
      <c r="B27" s="8">
        <v>13</v>
      </c>
      <c r="C27" s="15" t="s">
        <v>50</v>
      </c>
      <c r="D27" s="8"/>
      <c r="E27" s="10"/>
      <c r="F27" s="10"/>
      <c r="G27" s="10"/>
      <c r="H27" s="10"/>
      <c r="I27" s="11"/>
      <c r="J27" s="10">
        <f t="shared" si="0"/>
        <v>0</v>
      </c>
      <c r="K27" s="12"/>
      <c r="L27" s="10"/>
      <c r="M27" s="10"/>
      <c r="N27" s="10"/>
      <c r="O27" s="10">
        <f t="shared" si="1"/>
        <v>0</v>
      </c>
      <c r="P27" s="10"/>
      <c r="Q27" s="13"/>
      <c r="R27" s="16"/>
      <c r="S27" s="8">
        <v>5</v>
      </c>
      <c r="T27" s="10">
        <v>6</v>
      </c>
      <c r="U27" s="10">
        <v>5</v>
      </c>
      <c r="V27" s="10">
        <v>6</v>
      </c>
      <c r="W27" s="11">
        <v>5</v>
      </c>
      <c r="X27" s="26">
        <f t="shared" si="2"/>
        <v>27</v>
      </c>
      <c r="Y27" s="26">
        <v>16</v>
      </c>
      <c r="Z27" s="10">
        <v>7</v>
      </c>
      <c r="AA27" s="10">
        <v>6</v>
      </c>
      <c r="AB27" s="10">
        <v>0</v>
      </c>
      <c r="AC27" s="26">
        <f t="shared" si="3"/>
        <v>13</v>
      </c>
      <c r="AD27" s="25">
        <v>5</v>
      </c>
      <c r="AE27" s="93">
        <f t="shared" si="4"/>
        <v>61</v>
      </c>
      <c r="AF27" s="101">
        <f t="shared" si="5"/>
        <v>25.25</v>
      </c>
      <c r="AG27" s="1"/>
      <c r="AH27" s="39"/>
      <c r="AI27" s="163" t="s">
        <v>51</v>
      </c>
      <c r="AJ27" s="163"/>
      <c r="AK27" s="163"/>
      <c r="AL27" s="163"/>
      <c r="AM27" s="163"/>
    </row>
    <row r="28" spans="2:39" ht="19.2" customHeight="1" x14ac:dyDescent="0.3">
      <c r="B28" s="8">
        <v>14</v>
      </c>
      <c r="C28" s="15" t="s">
        <v>52</v>
      </c>
      <c r="D28" s="8"/>
      <c r="E28" s="10"/>
      <c r="F28" s="10"/>
      <c r="G28" s="10"/>
      <c r="H28" s="10"/>
      <c r="I28" s="11"/>
      <c r="J28" s="10">
        <f t="shared" si="0"/>
        <v>0</v>
      </c>
      <c r="K28" s="12"/>
      <c r="L28" s="10"/>
      <c r="M28" s="10"/>
      <c r="N28" s="10"/>
      <c r="O28" s="10">
        <f t="shared" si="1"/>
        <v>0</v>
      </c>
      <c r="P28" s="10"/>
      <c r="Q28" s="13"/>
      <c r="R28" s="16"/>
      <c r="S28" s="8">
        <v>5</v>
      </c>
      <c r="T28" s="10">
        <v>5</v>
      </c>
      <c r="U28" s="10">
        <v>4</v>
      </c>
      <c r="V28" s="10">
        <v>4</v>
      </c>
      <c r="W28" s="11">
        <v>3</v>
      </c>
      <c r="X28" s="26">
        <f t="shared" si="2"/>
        <v>21</v>
      </c>
      <c r="Y28" s="26">
        <v>12</v>
      </c>
      <c r="Z28" s="10">
        <v>8</v>
      </c>
      <c r="AA28" s="10">
        <v>7</v>
      </c>
      <c r="AB28" s="10">
        <v>3</v>
      </c>
      <c r="AC28" s="26">
        <f t="shared" si="3"/>
        <v>18</v>
      </c>
      <c r="AD28" s="25">
        <v>5</v>
      </c>
      <c r="AE28" s="93">
        <f t="shared" si="4"/>
        <v>56</v>
      </c>
      <c r="AF28" s="101">
        <f t="shared" si="5"/>
        <v>22.5</v>
      </c>
      <c r="AG28" s="1"/>
      <c r="AI28" s="33" t="s">
        <v>37</v>
      </c>
      <c r="AJ28" s="34" t="s">
        <v>38</v>
      </c>
      <c r="AK28" s="34" t="s">
        <v>39</v>
      </c>
      <c r="AL28" s="34" t="s">
        <v>40</v>
      </c>
      <c r="AM28" s="34" t="s">
        <v>41</v>
      </c>
    </row>
    <row r="29" spans="2:39" ht="19.2" customHeight="1" x14ac:dyDescent="0.3">
      <c r="B29" s="8">
        <v>15</v>
      </c>
      <c r="C29" s="15" t="s">
        <v>53</v>
      </c>
      <c r="D29" s="8"/>
      <c r="E29" s="10"/>
      <c r="F29" s="10"/>
      <c r="G29" s="10"/>
      <c r="H29" s="10"/>
      <c r="I29" s="11"/>
      <c r="J29" s="10">
        <f t="shared" si="0"/>
        <v>0</v>
      </c>
      <c r="K29" s="12"/>
      <c r="L29" s="10"/>
      <c r="M29" s="10"/>
      <c r="N29" s="10"/>
      <c r="O29" s="10">
        <f t="shared" si="1"/>
        <v>0</v>
      </c>
      <c r="P29" s="10"/>
      <c r="Q29" s="13"/>
      <c r="R29" s="16"/>
      <c r="S29" s="8">
        <v>6</v>
      </c>
      <c r="T29" s="10">
        <v>6</v>
      </c>
      <c r="U29" s="10">
        <v>4</v>
      </c>
      <c r="V29" s="10">
        <v>4</v>
      </c>
      <c r="W29" s="11">
        <v>3</v>
      </c>
      <c r="X29" s="26">
        <f t="shared" si="2"/>
        <v>23</v>
      </c>
      <c r="Y29" s="26">
        <v>13</v>
      </c>
      <c r="Z29" s="10">
        <v>7</v>
      </c>
      <c r="AA29" s="10">
        <v>5</v>
      </c>
      <c r="AB29" s="10">
        <v>4</v>
      </c>
      <c r="AC29" s="26">
        <f t="shared" si="3"/>
        <v>16</v>
      </c>
      <c r="AD29" s="25">
        <v>5</v>
      </c>
      <c r="AE29" s="93">
        <f t="shared" si="4"/>
        <v>57</v>
      </c>
      <c r="AF29" s="101">
        <f t="shared" si="5"/>
        <v>23.166666666666668</v>
      </c>
      <c r="AG29" s="1"/>
      <c r="AI29" s="35">
        <v>1</v>
      </c>
      <c r="AJ29" s="36"/>
      <c r="AK29" s="29"/>
      <c r="AL29" s="29"/>
      <c r="AM29" s="36"/>
    </row>
    <row r="30" spans="2:39" ht="19.2" customHeight="1" x14ac:dyDescent="0.3">
      <c r="B30" s="8">
        <v>16</v>
      </c>
      <c r="C30" s="15" t="s">
        <v>54</v>
      </c>
      <c r="D30" s="8"/>
      <c r="E30" s="10"/>
      <c r="F30" s="10"/>
      <c r="G30" s="10"/>
      <c r="H30" s="10"/>
      <c r="I30" s="11"/>
      <c r="J30" s="10">
        <f t="shared" si="0"/>
        <v>0</v>
      </c>
      <c r="K30" s="12"/>
      <c r="L30" s="10"/>
      <c r="M30" s="10"/>
      <c r="N30" s="10"/>
      <c r="O30" s="10">
        <f t="shared" si="1"/>
        <v>0</v>
      </c>
      <c r="P30" s="10"/>
      <c r="Q30" s="13"/>
      <c r="R30" s="16"/>
      <c r="S30" s="8">
        <v>6</v>
      </c>
      <c r="T30" s="10">
        <v>6</v>
      </c>
      <c r="U30" s="10">
        <v>6</v>
      </c>
      <c r="V30" s="10">
        <v>5</v>
      </c>
      <c r="W30" s="11">
        <v>6</v>
      </c>
      <c r="X30" s="26">
        <f t="shared" si="2"/>
        <v>29</v>
      </c>
      <c r="Y30" s="26">
        <v>15</v>
      </c>
      <c r="Z30" s="10">
        <v>7</v>
      </c>
      <c r="AA30" s="10">
        <v>7</v>
      </c>
      <c r="AB30" s="10">
        <v>4</v>
      </c>
      <c r="AC30" s="26">
        <f t="shared" si="3"/>
        <v>18</v>
      </c>
      <c r="AD30" s="25">
        <v>5</v>
      </c>
      <c r="AE30" s="93">
        <f t="shared" si="4"/>
        <v>67</v>
      </c>
      <c r="AF30" s="101">
        <f t="shared" si="5"/>
        <v>26.666666666666664</v>
      </c>
      <c r="AG30" s="1"/>
      <c r="AI30" s="35">
        <v>2</v>
      </c>
      <c r="AJ30" s="36"/>
      <c r="AK30" s="29"/>
      <c r="AL30" s="29"/>
      <c r="AM30" s="36"/>
    </row>
    <row r="31" spans="2:39" ht="19.2" customHeight="1" x14ac:dyDescent="0.3">
      <c r="B31" s="8">
        <v>17</v>
      </c>
      <c r="C31" s="15" t="s">
        <v>55</v>
      </c>
      <c r="D31" s="8"/>
      <c r="E31" s="10"/>
      <c r="F31" s="10"/>
      <c r="G31" s="10"/>
      <c r="H31" s="10"/>
      <c r="I31" s="11"/>
      <c r="J31" s="10">
        <f t="shared" si="0"/>
        <v>0</v>
      </c>
      <c r="K31" s="12"/>
      <c r="L31" s="10"/>
      <c r="M31" s="10"/>
      <c r="N31" s="10"/>
      <c r="O31" s="10">
        <f t="shared" si="1"/>
        <v>0</v>
      </c>
      <c r="P31" s="10"/>
      <c r="Q31" s="13"/>
      <c r="R31" s="16"/>
      <c r="S31" s="8">
        <v>5</v>
      </c>
      <c r="T31" s="10">
        <v>6</v>
      </c>
      <c r="U31" s="10">
        <v>4</v>
      </c>
      <c r="V31" s="10">
        <v>6</v>
      </c>
      <c r="W31" s="11">
        <v>6</v>
      </c>
      <c r="X31" s="26">
        <f t="shared" si="2"/>
        <v>27</v>
      </c>
      <c r="Y31" s="26">
        <v>13</v>
      </c>
      <c r="Z31" s="10">
        <v>7</v>
      </c>
      <c r="AA31" s="10">
        <v>7</v>
      </c>
      <c r="AB31" s="10">
        <v>4</v>
      </c>
      <c r="AC31" s="26">
        <f t="shared" si="3"/>
        <v>18</v>
      </c>
      <c r="AD31" s="25">
        <v>5</v>
      </c>
      <c r="AE31" s="93">
        <f t="shared" si="4"/>
        <v>63</v>
      </c>
      <c r="AF31" s="101">
        <f t="shared" si="5"/>
        <v>25</v>
      </c>
      <c r="AG31" s="1"/>
      <c r="AI31" s="35">
        <v>3</v>
      </c>
      <c r="AJ31" s="36"/>
      <c r="AK31" s="29"/>
      <c r="AL31" s="29"/>
      <c r="AM31" s="36"/>
    </row>
    <row r="32" spans="2:39" ht="19.2" customHeight="1" x14ac:dyDescent="0.3">
      <c r="B32" s="8">
        <v>18</v>
      </c>
      <c r="C32" s="15" t="s">
        <v>56</v>
      </c>
      <c r="D32" s="8"/>
      <c r="E32" s="10"/>
      <c r="F32" s="10"/>
      <c r="G32" s="10"/>
      <c r="H32" s="10"/>
      <c r="I32" s="11"/>
      <c r="J32" s="10">
        <f t="shared" si="0"/>
        <v>0</v>
      </c>
      <c r="K32" s="12"/>
      <c r="L32" s="10"/>
      <c r="M32" s="10"/>
      <c r="N32" s="10"/>
      <c r="O32" s="10">
        <f t="shared" si="1"/>
        <v>0</v>
      </c>
      <c r="P32" s="10"/>
      <c r="Q32" s="13"/>
      <c r="R32" s="16"/>
      <c r="S32" s="8">
        <v>5</v>
      </c>
      <c r="T32" s="10">
        <v>6</v>
      </c>
      <c r="U32" s="10">
        <v>5</v>
      </c>
      <c r="V32" s="10">
        <v>6</v>
      </c>
      <c r="W32" s="11">
        <v>6</v>
      </c>
      <c r="X32" s="26">
        <f t="shared" si="2"/>
        <v>28</v>
      </c>
      <c r="Y32" s="26">
        <v>17</v>
      </c>
      <c r="Z32" s="10">
        <v>7</v>
      </c>
      <c r="AA32" s="10">
        <v>7</v>
      </c>
      <c r="AB32" s="10">
        <v>4</v>
      </c>
      <c r="AC32" s="26">
        <f t="shared" si="3"/>
        <v>18</v>
      </c>
      <c r="AD32" s="25">
        <v>5</v>
      </c>
      <c r="AE32" s="93">
        <f t="shared" si="4"/>
        <v>68</v>
      </c>
      <c r="AF32" s="101">
        <f t="shared" si="5"/>
        <v>27.333333333333336</v>
      </c>
      <c r="AG32" s="1"/>
      <c r="AH32" s="38"/>
      <c r="AI32" s="38"/>
      <c r="AJ32" s="38"/>
      <c r="AK32" s="38"/>
      <c r="AL32" s="1"/>
      <c r="AM32" s="1"/>
    </row>
    <row r="33" spans="2:39" ht="19.2" customHeight="1" x14ac:dyDescent="0.3">
      <c r="B33" s="8">
        <v>19</v>
      </c>
      <c r="C33" s="15" t="s">
        <v>57</v>
      </c>
      <c r="D33" s="8"/>
      <c r="E33" s="10"/>
      <c r="F33" s="10"/>
      <c r="G33" s="10"/>
      <c r="H33" s="17"/>
      <c r="I33" s="11"/>
      <c r="J33" s="10">
        <f t="shared" si="0"/>
        <v>0</v>
      </c>
      <c r="K33" s="12"/>
      <c r="L33" s="10"/>
      <c r="M33" s="10"/>
      <c r="N33" s="10"/>
      <c r="O33" s="10">
        <f t="shared" si="1"/>
        <v>0</v>
      </c>
      <c r="P33" s="10"/>
      <c r="Q33" s="13"/>
      <c r="R33" s="16"/>
      <c r="S33" s="8">
        <v>4</v>
      </c>
      <c r="T33" s="10">
        <v>5</v>
      </c>
      <c r="U33" s="10">
        <v>5</v>
      </c>
      <c r="V33" s="10">
        <v>6</v>
      </c>
      <c r="W33" s="11">
        <v>5</v>
      </c>
      <c r="X33" s="26">
        <f t="shared" si="2"/>
        <v>25</v>
      </c>
      <c r="Y33" s="26">
        <v>17</v>
      </c>
      <c r="Z33" s="10">
        <v>7</v>
      </c>
      <c r="AA33" s="10">
        <v>7</v>
      </c>
      <c r="AB33" s="10">
        <v>4</v>
      </c>
      <c r="AC33" s="26">
        <f t="shared" si="3"/>
        <v>18</v>
      </c>
      <c r="AD33" s="25">
        <v>5</v>
      </c>
      <c r="AE33" s="93">
        <f t="shared" si="4"/>
        <v>65</v>
      </c>
      <c r="AF33" s="101">
        <f t="shared" si="5"/>
        <v>26.333333333333336</v>
      </c>
      <c r="AG33" s="1"/>
      <c r="AH33" s="37"/>
      <c r="AI33" s="2"/>
      <c r="AJ33" s="2"/>
      <c r="AK33" s="2"/>
      <c r="AL33" s="1"/>
      <c r="AM33" s="1"/>
    </row>
    <row r="34" spans="2:39" ht="19.2" customHeight="1" x14ac:dyDescent="0.3">
      <c r="B34" s="8">
        <v>20</v>
      </c>
      <c r="C34" s="15" t="s">
        <v>58</v>
      </c>
      <c r="D34" s="8"/>
      <c r="E34" s="10"/>
      <c r="F34" s="10"/>
      <c r="G34" s="10"/>
      <c r="H34" s="17"/>
      <c r="I34" s="11"/>
      <c r="J34" s="10">
        <f t="shared" si="0"/>
        <v>0</v>
      </c>
      <c r="K34" s="12"/>
      <c r="L34" s="10"/>
      <c r="M34" s="10"/>
      <c r="N34" s="10"/>
      <c r="O34" s="10">
        <f t="shared" si="1"/>
        <v>0</v>
      </c>
      <c r="P34" s="10"/>
      <c r="Q34" s="13"/>
      <c r="R34" s="16"/>
      <c r="S34" s="8">
        <v>5</v>
      </c>
      <c r="T34" s="10">
        <v>5</v>
      </c>
      <c r="U34" s="10">
        <v>6</v>
      </c>
      <c r="V34" s="10">
        <v>6</v>
      </c>
      <c r="W34" s="11">
        <v>5</v>
      </c>
      <c r="X34" s="26">
        <f t="shared" si="2"/>
        <v>27</v>
      </c>
      <c r="Y34" s="26">
        <v>17</v>
      </c>
      <c r="Z34" s="10">
        <v>7</v>
      </c>
      <c r="AA34" s="10">
        <v>5</v>
      </c>
      <c r="AB34" s="10">
        <v>3</v>
      </c>
      <c r="AC34" s="26">
        <f t="shared" si="3"/>
        <v>15</v>
      </c>
      <c r="AD34" s="25">
        <v>5</v>
      </c>
      <c r="AE34" s="93">
        <f t="shared" si="4"/>
        <v>64</v>
      </c>
      <c r="AF34" s="101">
        <f t="shared" si="5"/>
        <v>26.25</v>
      </c>
      <c r="AG34" s="1"/>
      <c r="AH34" s="3"/>
      <c r="AI34" s="1"/>
      <c r="AJ34" s="1"/>
      <c r="AK34" s="1"/>
      <c r="AL34" s="1"/>
      <c r="AM34" s="1"/>
    </row>
    <row r="35" spans="2:39" ht="19.2" customHeight="1" x14ac:dyDescent="0.3">
      <c r="B35" s="8">
        <v>21</v>
      </c>
      <c r="C35" s="15" t="s">
        <v>59</v>
      </c>
      <c r="D35" s="8"/>
      <c r="E35" s="10"/>
      <c r="F35" s="17"/>
      <c r="G35" s="10"/>
      <c r="H35" s="17"/>
      <c r="I35" s="11"/>
      <c r="J35" s="10">
        <f t="shared" si="0"/>
        <v>0</v>
      </c>
      <c r="K35" s="12"/>
      <c r="L35" s="10"/>
      <c r="M35" s="10"/>
      <c r="N35" s="10"/>
      <c r="O35" s="10">
        <f t="shared" si="1"/>
        <v>0</v>
      </c>
      <c r="P35" s="10"/>
      <c r="Q35" s="13"/>
      <c r="R35" s="16"/>
      <c r="S35" s="8">
        <v>5</v>
      </c>
      <c r="T35" s="10">
        <v>6</v>
      </c>
      <c r="U35" s="10">
        <v>5</v>
      </c>
      <c r="V35" s="10">
        <v>6</v>
      </c>
      <c r="W35" s="11">
        <v>4</v>
      </c>
      <c r="X35" s="26">
        <f t="shared" si="2"/>
        <v>26</v>
      </c>
      <c r="Y35" s="26">
        <v>16</v>
      </c>
      <c r="Z35" s="10">
        <v>7</v>
      </c>
      <c r="AA35" s="10">
        <v>7</v>
      </c>
      <c r="AB35" s="10">
        <v>4</v>
      </c>
      <c r="AC35" s="26">
        <f t="shared" si="3"/>
        <v>18</v>
      </c>
      <c r="AD35" s="25">
        <v>5</v>
      </c>
      <c r="AE35" s="93">
        <f t="shared" si="4"/>
        <v>65</v>
      </c>
      <c r="AF35" s="101">
        <f t="shared" si="5"/>
        <v>26.166666666666664</v>
      </c>
      <c r="AG35" s="1"/>
      <c r="AH35" s="1"/>
      <c r="AI35" s="1"/>
      <c r="AJ35" s="1"/>
      <c r="AK35" s="1"/>
      <c r="AL35" s="1"/>
      <c r="AM35" s="1"/>
    </row>
    <row r="36" spans="2:39" ht="19.2" customHeight="1" x14ac:dyDescent="0.3">
      <c r="B36" s="8">
        <v>22</v>
      </c>
      <c r="C36" s="15" t="s">
        <v>60</v>
      </c>
      <c r="D36" s="8"/>
      <c r="E36" s="10"/>
      <c r="F36" s="10"/>
      <c r="G36" s="10"/>
      <c r="H36" s="10"/>
      <c r="I36" s="11"/>
      <c r="J36" s="10">
        <f t="shared" si="0"/>
        <v>0</v>
      </c>
      <c r="K36" s="12"/>
      <c r="L36" s="10"/>
      <c r="M36" s="10"/>
      <c r="N36" s="10"/>
      <c r="O36" s="10">
        <f t="shared" si="1"/>
        <v>0</v>
      </c>
      <c r="P36" s="10"/>
      <c r="Q36" s="13"/>
      <c r="R36" s="16"/>
      <c r="S36" s="8">
        <v>6</v>
      </c>
      <c r="T36" s="10">
        <v>6</v>
      </c>
      <c r="U36" s="10">
        <v>6</v>
      </c>
      <c r="V36" s="10">
        <v>6</v>
      </c>
      <c r="W36" s="11">
        <v>5</v>
      </c>
      <c r="X36" s="26">
        <f t="shared" si="2"/>
        <v>29</v>
      </c>
      <c r="Y36" s="26">
        <v>16</v>
      </c>
      <c r="Z36" s="10">
        <v>7</v>
      </c>
      <c r="AA36" s="10">
        <v>6</v>
      </c>
      <c r="AB36" s="10">
        <v>2</v>
      </c>
      <c r="AC36" s="26">
        <f t="shared" si="3"/>
        <v>15</v>
      </c>
      <c r="AD36" s="25">
        <v>5</v>
      </c>
      <c r="AE36" s="93">
        <f t="shared" si="4"/>
        <v>65</v>
      </c>
      <c r="AF36" s="101">
        <f t="shared" si="5"/>
        <v>26.416666666666664</v>
      </c>
      <c r="AG36" s="1"/>
      <c r="AH36" s="1"/>
      <c r="AI36" s="1"/>
      <c r="AJ36" s="1"/>
      <c r="AK36" s="1"/>
      <c r="AL36" s="1"/>
      <c r="AM36" s="1"/>
    </row>
    <row r="37" spans="2:39" ht="19.2" customHeight="1" x14ac:dyDescent="0.3">
      <c r="B37" s="8">
        <v>23</v>
      </c>
      <c r="C37" s="15" t="s">
        <v>61</v>
      </c>
      <c r="D37" s="8"/>
      <c r="E37" s="10"/>
      <c r="F37" s="10"/>
      <c r="G37" s="10"/>
      <c r="H37" s="10"/>
      <c r="I37" s="11"/>
      <c r="J37" s="10">
        <f t="shared" si="0"/>
        <v>0</v>
      </c>
      <c r="K37" s="12"/>
      <c r="L37" s="10"/>
      <c r="M37" s="10"/>
      <c r="N37" s="10"/>
      <c r="O37" s="10">
        <f t="shared" si="1"/>
        <v>0</v>
      </c>
      <c r="P37" s="10"/>
      <c r="Q37" s="13"/>
      <c r="R37" s="16"/>
      <c r="S37" s="8">
        <v>6</v>
      </c>
      <c r="T37" s="10">
        <v>6</v>
      </c>
      <c r="U37" s="10">
        <v>5</v>
      </c>
      <c r="V37" s="10">
        <v>6</v>
      </c>
      <c r="W37" s="11">
        <v>4</v>
      </c>
      <c r="X37" s="26">
        <f t="shared" si="2"/>
        <v>27</v>
      </c>
      <c r="Y37" s="26">
        <v>18</v>
      </c>
      <c r="Z37" s="10">
        <v>7</v>
      </c>
      <c r="AA37" s="10">
        <v>6</v>
      </c>
      <c r="AB37" s="10">
        <v>4</v>
      </c>
      <c r="AC37" s="26">
        <f t="shared" si="3"/>
        <v>17</v>
      </c>
      <c r="AD37" s="25">
        <v>5</v>
      </c>
      <c r="AE37" s="93">
        <f t="shared" si="4"/>
        <v>67</v>
      </c>
      <c r="AF37" s="101">
        <f t="shared" si="5"/>
        <v>27.25</v>
      </c>
      <c r="AG37" s="1"/>
      <c r="AH37" s="1"/>
      <c r="AI37" s="1"/>
      <c r="AJ37" s="1"/>
      <c r="AK37" s="1"/>
      <c r="AL37" s="1"/>
      <c r="AM37" s="1"/>
    </row>
    <row r="38" spans="2:39" ht="19.2" customHeight="1" x14ac:dyDescent="0.3">
      <c r="B38" s="8">
        <v>24</v>
      </c>
      <c r="C38" s="15" t="s">
        <v>62</v>
      </c>
      <c r="D38" s="8"/>
      <c r="E38" s="10"/>
      <c r="F38" s="10"/>
      <c r="G38" s="10"/>
      <c r="H38" s="10"/>
      <c r="I38" s="11"/>
      <c r="J38" s="10">
        <f t="shared" si="0"/>
        <v>0</v>
      </c>
      <c r="K38" s="12"/>
      <c r="L38" s="10"/>
      <c r="M38" s="10"/>
      <c r="N38" s="10"/>
      <c r="O38" s="10">
        <f t="shared" si="1"/>
        <v>0</v>
      </c>
      <c r="P38" s="10"/>
      <c r="Q38" s="13"/>
      <c r="R38" s="16"/>
      <c r="S38" s="8">
        <v>6</v>
      </c>
      <c r="T38" s="10">
        <v>3</v>
      </c>
      <c r="U38" s="10">
        <v>4</v>
      </c>
      <c r="V38" s="10">
        <v>4</v>
      </c>
      <c r="W38" s="11">
        <v>1</v>
      </c>
      <c r="X38" s="26">
        <f t="shared" si="2"/>
        <v>18</v>
      </c>
      <c r="Y38" s="26">
        <v>18</v>
      </c>
      <c r="Z38" s="10">
        <v>7</v>
      </c>
      <c r="AA38" s="10">
        <v>6</v>
      </c>
      <c r="AB38" s="10">
        <v>2</v>
      </c>
      <c r="AC38" s="26">
        <f t="shared" si="3"/>
        <v>15</v>
      </c>
      <c r="AD38" s="25">
        <v>5</v>
      </c>
      <c r="AE38" s="93">
        <f t="shared" si="4"/>
        <v>56</v>
      </c>
      <c r="AF38" s="101">
        <f t="shared" si="5"/>
        <v>23.75</v>
      </c>
      <c r="AG38" s="1"/>
      <c r="AH38" s="1"/>
      <c r="AI38" s="1"/>
      <c r="AJ38" s="1"/>
      <c r="AK38" s="1"/>
      <c r="AL38" s="1"/>
      <c r="AM38" s="1"/>
    </row>
    <row r="39" spans="2:39" ht="19.2" customHeight="1" x14ac:dyDescent="0.3">
      <c r="B39" s="8">
        <v>25</v>
      </c>
      <c r="C39" s="15" t="s">
        <v>63</v>
      </c>
      <c r="D39" s="8"/>
      <c r="E39" s="10"/>
      <c r="F39" s="10"/>
      <c r="G39" s="10"/>
      <c r="H39" s="17"/>
      <c r="I39" s="11"/>
      <c r="J39" s="10">
        <f t="shared" si="0"/>
        <v>0</v>
      </c>
      <c r="K39" s="12"/>
      <c r="L39" s="10"/>
      <c r="M39" s="10"/>
      <c r="N39" s="10"/>
      <c r="O39" s="10">
        <f t="shared" si="1"/>
        <v>0</v>
      </c>
      <c r="P39" s="10"/>
      <c r="Q39" s="13"/>
      <c r="R39" s="16"/>
      <c r="S39" s="8">
        <v>4</v>
      </c>
      <c r="T39" s="10">
        <v>4</v>
      </c>
      <c r="U39" s="10">
        <v>1</v>
      </c>
      <c r="V39" s="10"/>
      <c r="W39" s="11">
        <v>1</v>
      </c>
      <c r="X39" s="26">
        <f t="shared" si="2"/>
        <v>10</v>
      </c>
      <c r="Y39" s="26">
        <v>14</v>
      </c>
      <c r="Z39" s="10">
        <v>6</v>
      </c>
      <c r="AA39" s="10">
        <v>0</v>
      </c>
      <c r="AB39" s="10">
        <v>3</v>
      </c>
      <c r="AC39" s="26">
        <f t="shared" si="3"/>
        <v>9</v>
      </c>
      <c r="AD39" s="25">
        <v>5</v>
      </c>
      <c r="AE39" s="93">
        <f t="shared" si="4"/>
        <v>38</v>
      </c>
      <c r="AF39" s="101">
        <f t="shared" si="5"/>
        <v>17.583333333333336</v>
      </c>
      <c r="AG39" s="1"/>
      <c r="AH39" s="1"/>
      <c r="AI39" s="1"/>
      <c r="AJ39" s="1"/>
      <c r="AK39" s="1"/>
      <c r="AL39" s="1"/>
      <c r="AM39" s="1"/>
    </row>
    <row r="40" spans="2:39" ht="19.2" customHeight="1" x14ac:dyDescent="0.3">
      <c r="B40" s="8">
        <v>26</v>
      </c>
      <c r="C40" s="15" t="s">
        <v>64</v>
      </c>
      <c r="D40" s="8"/>
      <c r="E40" s="10"/>
      <c r="F40" s="10"/>
      <c r="G40" s="17"/>
      <c r="H40" s="17"/>
      <c r="I40" s="11"/>
      <c r="J40" s="10">
        <f t="shared" si="0"/>
        <v>0</v>
      </c>
      <c r="K40" s="12"/>
      <c r="L40" s="10"/>
      <c r="M40" s="10"/>
      <c r="N40" s="10"/>
      <c r="O40" s="10">
        <f t="shared" si="1"/>
        <v>0</v>
      </c>
      <c r="P40" s="10"/>
      <c r="Q40" s="13"/>
      <c r="R40" s="16"/>
      <c r="S40" s="8">
        <v>5</v>
      </c>
      <c r="T40" s="10">
        <v>4</v>
      </c>
      <c r="U40" s="10">
        <v>1</v>
      </c>
      <c r="V40" s="10"/>
      <c r="W40" s="11">
        <v>1</v>
      </c>
      <c r="X40" s="26">
        <f t="shared" si="2"/>
        <v>11</v>
      </c>
      <c r="Y40" s="26">
        <v>17</v>
      </c>
      <c r="Z40" s="10">
        <v>7</v>
      </c>
      <c r="AA40" s="10">
        <v>0</v>
      </c>
      <c r="AB40" s="10">
        <v>3</v>
      </c>
      <c r="AC40" s="26">
        <f t="shared" si="3"/>
        <v>10</v>
      </c>
      <c r="AD40" s="25">
        <v>5</v>
      </c>
      <c r="AE40" s="93">
        <f t="shared" si="4"/>
        <v>43</v>
      </c>
      <c r="AF40" s="101">
        <f t="shared" si="5"/>
        <v>19.666666666666664</v>
      </c>
      <c r="AG40" s="1"/>
      <c r="AH40" s="1"/>
      <c r="AI40" s="1"/>
      <c r="AJ40" s="1"/>
      <c r="AK40" s="1"/>
      <c r="AL40" s="1"/>
      <c r="AM40" s="1"/>
    </row>
    <row r="41" spans="2:39" ht="19.2" customHeight="1" x14ac:dyDescent="0.3">
      <c r="B41" s="8">
        <v>27</v>
      </c>
      <c r="C41" s="15" t="s">
        <v>65</v>
      </c>
      <c r="D41" s="8"/>
      <c r="E41" s="10"/>
      <c r="F41" s="10"/>
      <c r="G41" s="10"/>
      <c r="H41" s="10"/>
      <c r="I41" s="11"/>
      <c r="J41" s="10">
        <f t="shared" si="0"/>
        <v>0</v>
      </c>
      <c r="K41" s="12"/>
      <c r="L41" s="10"/>
      <c r="M41" s="10"/>
      <c r="N41" s="10"/>
      <c r="O41" s="10">
        <f t="shared" si="1"/>
        <v>0</v>
      </c>
      <c r="P41" s="10"/>
      <c r="Q41" s="13"/>
      <c r="R41" s="16"/>
      <c r="S41" s="8">
        <v>4</v>
      </c>
      <c r="T41" s="10">
        <v>5</v>
      </c>
      <c r="U41" s="10">
        <v>4</v>
      </c>
      <c r="V41" s="10">
        <v>5</v>
      </c>
      <c r="W41" s="11">
        <v>5</v>
      </c>
      <c r="X41" s="26">
        <f t="shared" si="2"/>
        <v>23</v>
      </c>
      <c r="Y41" s="26">
        <v>15</v>
      </c>
      <c r="Z41" s="10">
        <v>7</v>
      </c>
      <c r="AA41" s="10">
        <v>7</v>
      </c>
      <c r="AB41" s="10">
        <v>3</v>
      </c>
      <c r="AC41" s="26">
        <f t="shared" si="3"/>
        <v>17</v>
      </c>
      <c r="AD41" s="25">
        <v>5</v>
      </c>
      <c r="AE41" s="93">
        <f t="shared" si="4"/>
        <v>60</v>
      </c>
      <c r="AF41" s="101">
        <f t="shared" si="5"/>
        <v>24.416666666666668</v>
      </c>
      <c r="AG41" s="1"/>
      <c r="AH41" s="1"/>
      <c r="AI41" s="1"/>
      <c r="AJ41" s="1"/>
      <c r="AK41" s="1"/>
      <c r="AL41" s="1"/>
      <c r="AM41" s="1"/>
    </row>
    <row r="42" spans="2:39" ht="19.2" customHeight="1" x14ac:dyDescent="0.3">
      <c r="B42" s="8">
        <v>28</v>
      </c>
      <c r="C42" s="15" t="s">
        <v>66</v>
      </c>
      <c r="D42" s="8"/>
      <c r="E42" s="10"/>
      <c r="F42" s="10"/>
      <c r="G42" s="10"/>
      <c r="H42" s="10"/>
      <c r="I42" s="11"/>
      <c r="J42" s="10">
        <f t="shared" si="0"/>
        <v>0</v>
      </c>
      <c r="K42" s="12"/>
      <c r="L42" s="10"/>
      <c r="M42" s="10"/>
      <c r="N42" s="10"/>
      <c r="O42" s="10">
        <f t="shared" si="1"/>
        <v>0</v>
      </c>
      <c r="P42" s="10"/>
      <c r="Q42" s="13"/>
      <c r="R42" s="16"/>
      <c r="S42" s="8">
        <v>6</v>
      </c>
      <c r="T42" s="10">
        <v>3</v>
      </c>
      <c r="U42" s="10">
        <v>4</v>
      </c>
      <c r="V42" s="10">
        <v>5</v>
      </c>
      <c r="W42" s="11">
        <v>5</v>
      </c>
      <c r="X42" s="26">
        <f t="shared" si="2"/>
        <v>23</v>
      </c>
      <c r="Y42" s="26">
        <v>9</v>
      </c>
      <c r="Z42" s="10">
        <v>7</v>
      </c>
      <c r="AA42" s="10">
        <v>7</v>
      </c>
      <c r="AB42" s="10">
        <v>3</v>
      </c>
      <c r="AC42" s="26">
        <f t="shared" si="3"/>
        <v>17</v>
      </c>
      <c r="AD42" s="25">
        <v>5</v>
      </c>
      <c r="AE42" s="93">
        <f t="shared" si="4"/>
        <v>54</v>
      </c>
      <c r="AF42" s="101">
        <f t="shared" si="5"/>
        <v>21.416666666666668</v>
      </c>
      <c r="AG42" s="1"/>
      <c r="AH42" s="1"/>
      <c r="AI42" s="1"/>
      <c r="AJ42" s="1"/>
      <c r="AK42" s="1"/>
      <c r="AL42" s="1"/>
      <c r="AM42" s="1"/>
    </row>
    <row r="43" spans="2:39" ht="19.2" customHeight="1" x14ac:dyDescent="0.3">
      <c r="B43" s="8">
        <v>29</v>
      </c>
      <c r="C43" s="15" t="s">
        <v>67</v>
      </c>
      <c r="D43" s="8"/>
      <c r="E43" s="10"/>
      <c r="F43" s="10"/>
      <c r="G43" s="10"/>
      <c r="H43" s="10"/>
      <c r="I43" s="11"/>
      <c r="J43" s="10">
        <f t="shared" si="0"/>
        <v>0</v>
      </c>
      <c r="K43" s="12"/>
      <c r="L43" s="10"/>
      <c r="M43" s="10"/>
      <c r="N43" s="10"/>
      <c r="O43" s="10">
        <f t="shared" si="1"/>
        <v>0</v>
      </c>
      <c r="P43" s="10"/>
      <c r="Q43" s="13"/>
      <c r="R43" s="16"/>
      <c r="S43" s="8">
        <v>5</v>
      </c>
      <c r="T43" s="10">
        <v>5</v>
      </c>
      <c r="U43" s="10">
        <v>5</v>
      </c>
      <c r="V43" s="10">
        <v>5</v>
      </c>
      <c r="W43" s="11">
        <v>6</v>
      </c>
      <c r="X43" s="26">
        <f t="shared" si="2"/>
        <v>26</v>
      </c>
      <c r="Y43" s="26">
        <v>8</v>
      </c>
      <c r="Z43" s="10">
        <v>7</v>
      </c>
      <c r="AA43" s="10">
        <v>7</v>
      </c>
      <c r="AB43" s="10">
        <v>4</v>
      </c>
      <c r="AC43" s="26">
        <f t="shared" si="3"/>
        <v>18</v>
      </c>
      <c r="AD43" s="25">
        <v>5</v>
      </c>
      <c r="AE43" s="93">
        <f t="shared" si="4"/>
        <v>57</v>
      </c>
      <c r="AF43" s="101">
        <f t="shared" si="5"/>
        <v>22.166666666666664</v>
      </c>
      <c r="AG43" s="1"/>
      <c r="AH43" s="1"/>
      <c r="AI43" s="1"/>
      <c r="AJ43" s="1"/>
      <c r="AK43" s="1"/>
      <c r="AL43" s="1"/>
      <c r="AM43" s="1"/>
    </row>
    <row r="44" spans="2:39" ht="19.2" customHeight="1" x14ac:dyDescent="0.3">
      <c r="B44" s="8">
        <v>30</v>
      </c>
      <c r="C44" s="15" t="s">
        <v>68</v>
      </c>
      <c r="D44" s="8"/>
      <c r="E44" s="10"/>
      <c r="F44" s="10"/>
      <c r="G44" s="10"/>
      <c r="H44" s="10"/>
      <c r="I44" s="11"/>
      <c r="J44" s="10">
        <f t="shared" si="0"/>
        <v>0</v>
      </c>
      <c r="K44" s="12"/>
      <c r="L44" s="10"/>
      <c r="M44" s="10"/>
      <c r="N44" s="10"/>
      <c r="O44" s="10">
        <f t="shared" si="1"/>
        <v>0</v>
      </c>
      <c r="P44" s="10"/>
      <c r="Q44" s="13"/>
      <c r="R44" s="16"/>
      <c r="S44" s="8">
        <v>4</v>
      </c>
      <c r="T44" s="10">
        <v>5</v>
      </c>
      <c r="U44" s="10">
        <v>4</v>
      </c>
      <c r="V44" s="10">
        <v>4</v>
      </c>
      <c r="W44" s="11">
        <v>5</v>
      </c>
      <c r="X44" s="26">
        <f t="shared" si="2"/>
        <v>22</v>
      </c>
      <c r="Y44" s="26">
        <v>11</v>
      </c>
      <c r="Z44" s="10">
        <v>7</v>
      </c>
      <c r="AA44" s="10">
        <v>2</v>
      </c>
      <c r="AB44" s="10">
        <v>3</v>
      </c>
      <c r="AC44" s="26">
        <f t="shared" si="3"/>
        <v>12</v>
      </c>
      <c r="AD44" s="25">
        <v>5</v>
      </c>
      <c r="AE44" s="93">
        <f t="shared" si="4"/>
        <v>50</v>
      </c>
      <c r="AF44" s="101">
        <f t="shared" si="5"/>
        <v>20.833333333333332</v>
      </c>
      <c r="AG44" s="1"/>
      <c r="AH44" s="1"/>
      <c r="AI44" s="1"/>
      <c r="AJ44" s="1"/>
      <c r="AK44" s="1"/>
      <c r="AL44" s="1"/>
      <c r="AM44" s="1"/>
    </row>
    <row r="45" spans="2:39" ht="19.2" customHeight="1" x14ac:dyDescent="0.3">
      <c r="B45" s="8">
        <v>31</v>
      </c>
      <c r="C45" s="15" t="s">
        <v>69</v>
      </c>
      <c r="D45" s="8"/>
      <c r="E45" s="10"/>
      <c r="F45" s="10"/>
      <c r="G45" s="17"/>
      <c r="H45" s="17"/>
      <c r="I45" s="11"/>
      <c r="J45" s="10">
        <f t="shared" si="0"/>
        <v>0</v>
      </c>
      <c r="K45" s="12"/>
      <c r="L45" s="10"/>
      <c r="M45" s="10"/>
      <c r="N45" s="10"/>
      <c r="O45" s="10">
        <f t="shared" si="1"/>
        <v>0</v>
      </c>
      <c r="P45" s="10"/>
      <c r="Q45" s="13"/>
      <c r="R45" s="16"/>
      <c r="S45" s="8">
        <v>5</v>
      </c>
      <c r="T45" s="10">
        <v>4</v>
      </c>
      <c r="U45" s="10">
        <v>3</v>
      </c>
      <c r="V45" s="10">
        <v>5</v>
      </c>
      <c r="W45" s="11">
        <v>4</v>
      </c>
      <c r="X45" s="26">
        <f t="shared" si="2"/>
        <v>21</v>
      </c>
      <c r="Y45" s="26">
        <v>16</v>
      </c>
      <c r="Z45" s="10">
        <v>7</v>
      </c>
      <c r="AA45" s="10">
        <v>0</v>
      </c>
      <c r="AB45" s="10">
        <v>4</v>
      </c>
      <c r="AC45" s="26">
        <f t="shared" si="3"/>
        <v>11</v>
      </c>
      <c r="AD45" s="25">
        <v>5</v>
      </c>
      <c r="AE45" s="93">
        <f t="shared" si="4"/>
        <v>53</v>
      </c>
      <c r="AF45" s="101">
        <f t="shared" si="5"/>
        <v>22.75</v>
      </c>
      <c r="AG45" s="1"/>
      <c r="AH45" s="1"/>
      <c r="AI45" s="1"/>
      <c r="AJ45" s="1"/>
      <c r="AK45" s="1"/>
      <c r="AL45" s="1"/>
      <c r="AM45" s="1"/>
    </row>
    <row r="46" spans="2:39" ht="19.2" customHeight="1" x14ac:dyDescent="0.3">
      <c r="B46" s="8">
        <v>32</v>
      </c>
      <c r="C46" s="15" t="s">
        <v>70</v>
      </c>
      <c r="D46" s="8"/>
      <c r="E46" s="10"/>
      <c r="F46" s="10"/>
      <c r="G46" s="10"/>
      <c r="H46" s="10"/>
      <c r="I46" s="11"/>
      <c r="J46" s="10">
        <f t="shared" si="0"/>
        <v>0</v>
      </c>
      <c r="K46" s="12"/>
      <c r="L46" s="10"/>
      <c r="M46" s="10"/>
      <c r="N46" s="10"/>
      <c r="O46" s="10">
        <f t="shared" si="1"/>
        <v>0</v>
      </c>
      <c r="P46" s="10"/>
      <c r="Q46" s="13"/>
      <c r="R46" s="16"/>
      <c r="S46" s="8">
        <v>5</v>
      </c>
      <c r="T46" s="10">
        <v>4</v>
      </c>
      <c r="U46" s="10">
        <v>5</v>
      </c>
      <c r="V46" s="10">
        <v>4</v>
      </c>
      <c r="W46" s="11">
        <v>5</v>
      </c>
      <c r="X46" s="26">
        <f t="shared" si="2"/>
        <v>23</v>
      </c>
      <c r="Y46" s="26">
        <v>18</v>
      </c>
      <c r="Z46" s="10">
        <v>8</v>
      </c>
      <c r="AA46" s="10">
        <v>6</v>
      </c>
      <c r="AB46" s="10">
        <v>4</v>
      </c>
      <c r="AC46" s="26">
        <f t="shared" si="3"/>
        <v>18</v>
      </c>
      <c r="AD46" s="25">
        <v>5</v>
      </c>
      <c r="AE46" s="93">
        <f t="shared" si="4"/>
        <v>64</v>
      </c>
      <c r="AF46" s="101">
        <f t="shared" si="5"/>
        <v>26.166666666666668</v>
      </c>
      <c r="AG46" s="1"/>
      <c r="AH46" s="1"/>
      <c r="AI46" s="1"/>
      <c r="AJ46" s="1"/>
      <c r="AK46" s="1"/>
      <c r="AL46" s="1"/>
      <c r="AM46" s="1"/>
    </row>
    <row r="47" spans="2:39" ht="19.2" customHeight="1" x14ac:dyDescent="0.3">
      <c r="B47" s="8">
        <v>33</v>
      </c>
      <c r="C47" s="15" t="s">
        <v>71</v>
      </c>
      <c r="D47" s="8"/>
      <c r="E47" s="10"/>
      <c r="F47" s="17"/>
      <c r="G47" s="17"/>
      <c r="H47" s="10"/>
      <c r="I47" s="11"/>
      <c r="J47" s="10">
        <f t="shared" si="0"/>
        <v>0</v>
      </c>
      <c r="K47" s="12"/>
      <c r="L47" s="10"/>
      <c r="M47" s="10"/>
      <c r="N47" s="10"/>
      <c r="O47" s="10">
        <f t="shared" si="1"/>
        <v>0</v>
      </c>
      <c r="P47" s="10"/>
      <c r="Q47" s="13"/>
      <c r="R47" s="16"/>
      <c r="S47" s="8">
        <v>5</v>
      </c>
      <c r="T47" s="10">
        <v>6</v>
      </c>
      <c r="U47" s="10">
        <v>5</v>
      </c>
      <c r="V47" s="10">
        <v>5</v>
      </c>
      <c r="W47" s="11">
        <v>6</v>
      </c>
      <c r="X47" s="26">
        <f t="shared" si="2"/>
        <v>27</v>
      </c>
      <c r="Y47" s="26">
        <v>16</v>
      </c>
      <c r="Z47" s="10">
        <v>7</v>
      </c>
      <c r="AA47" s="10">
        <v>6</v>
      </c>
      <c r="AB47" s="10">
        <v>3</v>
      </c>
      <c r="AC47" s="26">
        <f t="shared" si="3"/>
        <v>16</v>
      </c>
      <c r="AD47" s="25">
        <v>5</v>
      </c>
      <c r="AE47" s="93">
        <f t="shared" si="4"/>
        <v>64</v>
      </c>
      <c r="AF47" s="101">
        <f t="shared" si="5"/>
        <v>26</v>
      </c>
      <c r="AG47" s="1"/>
      <c r="AH47" s="1"/>
      <c r="AI47" s="1"/>
      <c r="AJ47" s="1"/>
      <c r="AK47" s="1"/>
      <c r="AL47" s="1"/>
      <c r="AM47" s="1"/>
    </row>
    <row r="48" spans="2:39" ht="19.2" customHeight="1" x14ac:dyDescent="0.3">
      <c r="B48" s="8">
        <v>34</v>
      </c>
      <c r="C48" s="15" t="s">
        <v>72</v>
      </c>
      <c r="D48" s="8"/>
      <c r="E48" s="10"/>
      <c r="F48" s="10"/>
      <c r="G48" s="10"/>
      <c r="H48" s="10"/>
      <c r="I48" s="11"/>
      <c r="J48" s="10">
        <f t="shared" si="0"/>
        <v>0</v>
      </c>
      <c r="K48" s="12"/>
      <c r="L48" s="10"/>
      <c r="M48" s="10"/>
      <c r="N48" s="10"/>
      <c r="O48" s="10">
        <f t="shared" si="1"/>
        <v>0</v>
      </c>
      <c r="P48" s="10"/>
      <c r="Q48" s="13"/>
      <c r="R48" s="16"/>
      <c r="S48" s="8">
        <v>3</v>
      </c>
      <c r="T48" s="10">
        <v>4</v>
      </c>
      <c r="U48" s="10">
        <v>5</v>
      </c>
      <c r="V48" s="10"/>
      <c r="W48" s="11">
        <v>4</v>
      </c>
      <c r="X48" s="26">
        <f t="shared" si="2"/>
        <v>16</v>
      </c>
      <c r="Y48" s="26">
        <v>9</v>
      </c>
      <c r="Z48" s="10">
        <v>8</v>
      </c>
      <c r="AA48" s="10">
        <v>2</v>
      </c>
      <c r="AB48" s="10">
        <v>2</v>
      </c>
      <c r="AC48" s="26">
        <f t="shared" si="3"/>
        <v>12</v>
      </c>
      <c r="AD48" s="25">
        <v>5</v>
      </c>
      <c r="AE48" s="93">
        <f t="shared" si="4"/>
        <v>42</v>
      </c>
      <c r="AF48" s="101">
        <f t="shared" si="5"/>
        <v>17.833333333333332</v>
      </c>
      <c r="AG48" s="1"/>
      <c r="AH48" s="1"/>
      <c r="AI48" s="1"/>
      <c r="AJ48" s="1"/>
      <c r="AK48" s="1"/>
      <c r="AL48" s="1"/>
      <c r="AM48" s="1"/>
    </row>
    <row r="49" spans="2:39" ht="19.2" customHeight="1" x14ac:dyDescent="0.3">
      <c r="B49" s="8">
        <v>35</v>
      </c>
      <c r="C49" s="15" t="s">
        <v>73</v>
      </c>
      <c r="D49" s="8"/>
      <c r="E49" s="10"/>
      <c r="F49" s="10"/>
      <c r="G49" s="10"/>
      <c r="H49" s="10"/>
      <c r="I49" s="11"/>
      <c r="J49" s="10">
        <f t="shared" si="0"/>
        <v>0</v>
      </c>
      <c r="K49" s="12"/>
      <c r="L49" s="10"/>
      <c r="M49" s="10"/>
      <c r="N49" s="10"/>
      <c r="O49" s="10">
        <f t="shared" si="1"/>
        <v>0</v>
      </c>
      <c r="P49" s="10"/>
      <c r="Q49" s="13"/>
      <c r="R49" s="16"/>
      <c r="S49" s="8">
        <v>4</v>
      </c>
      <c r="T49" s="10">
        <v>5</v>
      </c>
      <c r="U49" s="10">
        <v>5</v>
      </c>
      <c r="V49" s="10">
        <v>4</v>
      </c>
      <c r="W49" s="11">
        <v>6</v>
      </c>
      <c r="X49" s="26">
        <f t="shared" si="2"/>
        <v>24</v>
      </c>
      <c r="Y49" s="26">
        <v>15</v>
      </c>
      <c r="Z49" s="10">
        <v>6</v>
      </c>
      <c r="AA49" s="10">
        <v>6</v>
      </c>
      <c r="AB49" s="10">
        <v>4</v>
      </c>
      <c r="AC49" s="26">
        <f t="shared" si="3"/>
        <v>16</v>
      </c>
      <c r="AD49" s="25">
        <v>5</v>
      </c>
      <c r="AE49" s="93">
        <f t="shared" si="4"/>
        <v>60</v>
      </c>
      <c r="AF49" s="101">
        <f t="shared" si="5"/>
        <v>24.5</v>
      </c>
      <c r="AG49" s="1"/>
      <c r="AH49" s="1"/>
      <c r="AI49" s="1"/>
      <c r="AJ49" s="1"/>
      <c r="AK49" s="1"/>
      <c r="AL49" s="1"/>
      <c r="AM49" s="1"/>
    </row>
    <row r="50" spans="2:39" ht="19.2" customHeight="1" x14ac:dyDescent="0.3">
      <c r="B50" s="8">
        <v>36</v>
      </c>
      <c r="C50" s="15" t="s">
        <v>74</v>
      </c>
      <c r="D50" s="8"/>
      <c r="E50" s="10"/>
      <c r="F50" s="10"/>
      <c r="G50" s="10"/>
      <c r="H50" s="17"/>
      <c r="I50" s="11"/>
      <c r="J50" s="10">
        <f t="shared" si="0"/>
        <v>0</v>
      </c>
      <c r="K50" s="12"/>
      <c r="L50" s="10"/>
      <c r="M50" s="10"/>
      <c r="N50" s="10"/>
      <c r="O50" s="10">
        <f t="shared" si="1"/>
        <v>0</v>
      </c>
      <c r="P50" s="10"/>
      <c r="Q50" s="13"/>
      <c r="R50" s="16"/>
      <c r="S50" s="8">
        <v>2</v>
      </c>
      <c r="T50" s="10">
        <v>3</v>
      </c>
      <c r="U50" s="10">
        <v>5</v>
      </c>
      <c r="V50" s="10">
        <v>6</v>
      </c>
      <c r="W50" s="11">
        <v>4</v>
      </c>
      <c r="X50" s="26">
        <f t="shared" si="2"/>
        <v>20</v>
      </c>
      <c r="Y50" s="26">
        <v>17</v>
      </c>
      <c r="Z50" s="10">
        <v>6</v>
      </c>
      <c r="AA50" s="10">
        <v>6</v>
      </c>
      <c r="AB50" s="10">
        <v>4</v>
      </c>
      <c r="AC50" s="26">
        <f t="shared" si="3"/>
        <v>16</v>
      </c>
      <c r="AD50" s="25">
        <v>5</v>
      </c>
      <c r="AE50" s="93">
        <f t="shared" si="4"/>
        <v>58</v>
      </c>
      <c r="AF50" s="101">
        <f t="shared" si="5"/>
        <v>24.166666666666668</v>
      </c>
      <c r="AG50" s="1"/>
      <c r="AH50" s="1"/>
      <c r="AI50" s="1"/>
      <c r="AJ50" s="1"/>
      <c r="AK50" s="1"/>
      <c r="AL50" s="1"/>
      <c r="AM50" s="1"/>
    </row>
    <row r="51" spans="2:39" ht="19.2" customHeight="1" x14ac:dyDescent="0.3">
      <c r="B51" s="8">
        <v>37</v>
      </c>
      <c r="C51" s="15" t="s">
        <v>75</v>
      </c>
      <c r="D51" s="8"/>
      <c r="E51" s="10"/>
      <c r="F51" s="10"/>
      <c r="G51" s="10"/>
      <c r="H51" s="10"/>
      <c r="I51" s="11"/>
      <c r="J51" s="10">
        <f t="shared" si="0"/>
        <v>0</v>
      </c>
      <c r="K51" s="12"/>
      <c r="L51" s="10"/>
      <c r="M51" s="10"/>
      <c r="N51" s="10"/>
      <c r="O51" s="10">
        <f t="shared" si="1"/>
        <v>0</v>
      </c>
      <c r="P51" s="10"/>
      <c r="Q51" s="13"/>
      <c r="R51" s="16"/>
      <c r="S51" s="8">
        <v>5</v>
      </c>
      <c r="T51" s="10">
        <v>5</v>
      </c>
      <c r="U51" s="10">
        <v>4</v>
      </c>
      <c r="V51" s="10">
        <v>6</v>
      </c>
      <c r="W51" s="11">
        <v>4</v>
      </c>
      <c r="X51" s="26">
        <f t="shared" si="2"/>
        <v>24</v>
      </c>
      <c r="Y51" s="26">
        <v>16</v>
      </c>
      <c r="Z51" s="10">
        <v>6</v>
      </c>
      <c r="AA51" s="10">
        <v>4</v>
      </c>
      <c r="AB51" s="10">
        <v>4</v>
      </c>
      <c r="AC51" s="26">
        <f t="shared" si="3"/>
        <v>14</v>
      </c>
      <c r="AD51" s="25">
        <v>5</v>
      </c>
      <c r="AE51" s="93">
        <f t="shared" si="4"/>
        <v>59</v>
      </c>
      <c r="AF51" s="101">
        <f t="shared" si="5"/>
        <v>24.5</v>
      </c>
      <c r="AG51" s="1"/>
      <c r="AH51" s="1"/>
      <c r="AI51" s="1"/>
      <c r="AJ51" s="1"/>
      <c r="AK51" s="1"/>
      <c r="AL51" s="1"/>
      <c r="AM51" s="1"/>
    </row>
    <row r="52" spans="2:39" ht="19.2" customHeight="1" x14ac:dyDescent="0.3">
      <c r="B52" s="8">
        <v>38</v>
      </c>
      <c r="C52" s="15" t="s">
        <v>76</v>
      </c>
      <c r="D52" s="8"/>
      <c r="E52" s="10"/>
      <c r="F52" s="10"/>
      <c r="G52" s="10"/>
      <c r="H52" s="10"/>
      <c r="I52" s="11"/>
      <c r="J52" s="10">
        <f t="shared" si="0"/>
        <v>0</v>
      </c>
      <c r="K52" s="12"/>
      <c r="L52" s="10"/>
      <c r="M52" s="10"/>
      <c r="N52" s="10"/>
      <c r="O52" s="10">
        <f t="shared" si="1"/>
        <v>0</v>
      </c>
      <c r="P52" s="10"/>
      <c r="Q52" s="13"/>
      <c r="R52" s="16"/>
      <c r="S52" s="8">
        <v>5</v>
      </c>
      <c r="T52" s="10">
        <v>5</v>
      </c>
      <c r="U52" s="10">
        <v>3</v>
      </c>
      <c r="V52" s="10">
        <v>4</v>
      </c>
      <c r="W52" s="11">
        <v>5</v>
      </c>
      <c r="X52" s="26">
        <f t="shared" si="2"/>
        <v>22</v>
      </c>
      <c r="Y52" s="26">
        <v>6</v>
      </c>
      <c r="Z52" s="10">
        <v>6</v>
      </c>
      <c r="AA52" s="10">
        <v>6</v>
      </c>
      <c r="AB52" s="10">
        <v>4</v>
      </c>
      <c r="AC52" s="26">
        <f t="shared" si="3"/>
        <v>16</v>
      </c>
      <c r="AD52" s="25">
        <v>5</v>
      </c>
      <c r="AE52" s="93">
        <f t="shared" si="4"/>
        <v>49</v>
      </c>
      <c r="AF52" s="101">
        <f t="shared" si="5"/>
        <v>19.333333333333332</v>
      </c>
      <c r="AG52" s="1"/>
      <c r="AH52" s="1"/>
      <c r="AI52" s="1"/>
      <c r="AJ52" s="1"/>
      <c r="AK52" s="1"/>
      <c r="AL52" s="1"/>
      <c r="AM52" s="1"/>
    </row>
    <row r="53" spans="2:39" ht="19.2" customHeight="1" x14ac:dyDescent="0.3">
      <c r="B53" s="8">
        <v>39</v>
      </c>
      <c r="C53" s="15" t="s">
        <v>77</v>
      </c>
      <c r="D53" s="8"/>
      <c r="E53" s="10"/>
      <c r="F53" s="10"/>
      <c r="G53" s="10"/>
      <c r="H53" s="10"/>
      <c r="I53" s="11"/>
      <c r="J53" s="10">
        <f t="shared" si="0"/>
        <v>0</v>
      </c>
      <c r="K53" s="12"/>
      <c r="L53" s="10"/>
      <c r="M53" s="10"/>
      <c r="N53" s="10"/>
      <c r="O53" s="10">
        <f t="shared" si="1"/>
        <v>0</v>
      </c>
      <c r="P53" s="10"/>
      <c r="Q53" s="13"/>
      <c r="R53" s="16"/>
      <c r="S53" s="8">
        <v>5</v>
      </c>
      <c r="T53" s="10">
        <v>5</v>
      </c>
      <c r="U53" s="10">
        <v>5</v>
      </c>
      <c r="V53" s="10">
        <v>5</v>
      </c>
      <c r="W53" s="11">
        <v>5</v>
      </c>
      <c r="X53" s="26">
        <f t="shared" si="2"/>
        <v>25</v>
      </c>
      <c r="Y53" s="26">
        <v>19</v>
      </c>
      <c r="Z53" s="10">
        <v>7</v>
      </c>
      <c r="AA53" s="10">
        <v>7</v>
      </c>
      <c r="AB53" s="10">
        <v>3</v>
      </c>
      <c r="AC53" s="26">
        <f t="shared" si="3"/>
        <v>17</v>
      </c>
      <c r="AD53" s="25">
        <v>5</v>
      </c>
      <c r="AE53" s="93">
        <f t="shared" si="4"/>
        <v>66</v>
      </c>
      <c r="AF53" s="101">
        <f t="shared" si="5"/>
        <v>27.083333333333336</v>
      </c>
      <c r="AG53" s="1"/>
      <c r="AH53" s="1"/>
      <c r="AI53" s="1"/>
      <c r="AJ53" s="1"/>
      <c r="AK53" s="1"/>
      <c r="AL53" s="1"/>
      <c r="AM53" s="1"/>
    </row>
    <row r="54" spans="2:39" ht="19.2" customHeight="1" x14ac:dyDescent="0.3">
      <c r="B54" s="8">
        <v>40</v>
      </c>
      <c r="C54" s="15" t="s">
        <v>78</v>
      </c>
      <c r="D54" s="8"/>
      <c r="E54" s="10"/>
      <c r="F54" s="10"/>
      <c r="G54" s="10"/>
      <c r="H54" s="10"/>
      <c r="I54" s="11"/>
      <c r="J54" s="10">
        <f t="shared" si="0"/>
        <v>0</v>
      </c>
      <c r="K54" s="12"/>
      <c r="L54" s="10"/>
      <c r="M54" s="10"/>
      <c r="N54" s="10"/>
      <c r="O54" s="10">
        <f t="shared" si="1"/>
        <v>0</v>
      </c>
      <c r="P54" s="10"/>
      <c r="Q54" s="13"/>
      <c r="R54" s="16"/>
      <c r="S54" s="8">
        <v>6</v>
      </c>
      <c r="T54" s="10">
        <v>6</v>
      </c>
      <c r="U54" s="10">
        <v>6</v>
      </c>
      <c r="V54" s="10">
        <v>6</v>
      </c>
      <c r="W54" s="11">
        <v>5</v>
      </c>
      <c r="X54" s="26">
        <f t="shared" si="2"/>
        <v>29</v>
      </c>
      <c r="Y54" s="26">
        <v>14</v>
      </c>
      <c r="Z54" s="10">
        <v>8</v>
      </c>
      <c r="AA54" s="10">
        <v>8</v>
      </c>
      <c r="AB54" s="10">
        <v>3</v>
      </c>
      <c r="AC54" s="26">
        <f t="shared" si="3"/>
        <v>19</v>
      </c>
      <c r="AD54" s="25">
        <v>5</v>
      </c>
      <c r="AE54" s="93">
        <f t="shared" si="4"/>
        <v>67</v>
      </c>
      <c r="AF54" s="101">
        <f t="shared" si="5"/>
        <v>26.416666666666664</v>
      </c>
      <c r="AG54" s="1"/>
      <c r="AH54" s="1"/>
      <c r="AI54" s="1"/>
      <c r="AJ54" s="1"/>
      <c r="AK54" s="1"/>
      <c r="AL54" s="1"/>
      <c r="AM54" s="1"/>
    </row>
    <row r="55" spans="2:39" ht="19.2" customHeight="1" x14ac:dyDescent="0.3">
      <c r="B55" s="8">
        <v>41</v>
      </c>
      <c r="C55" s="15" t="s">
        <v>79</v>
      </c>
      <c r="D55" s="8"/>
      <c r="E55" s="10"/>
      <c r="F55" s="10"/>
      <c r="G55" s="10"/>
      <c r="H55" s="10"/>
      <c r="I55" s="11"/>
      <c r="J55" s="10">
        <f t="shared" si="0"/>
        <v>0</v>
      </c>
      <c r="K55" s="12"/>
      <c r="L55" s="10"/>
      <c r="M55" s="10"/>
      <c r="N55" s="10"/>
      <c r="O55" s="10">
        <f t="shared" si="1"/>
        <v>0</v>
      </c>
      <c r="P55" s="10"/>
      <c r="Q55" s="13"/>
      <c r="R55" s="16"/>
      <c r="S55" s="8">
        <v>6</v>
      </c>
      <c r="T55" s="10">
        <v>6</v>
      </c>
      <c r="U55" s="10">
        <v>6</v>
      </c>
      <c r="V55" s="10">
        <v>5</v>
      </c>
      <c r="W55" s="11">
        <v>5</v>
      </c>
      <c r="X55" s="26">
        <f t="shared" si="2"/>
        <v>28</v>
      </c>
      <c r="Y55" s="26">
        <v>17</v>
      </c>
      <c r="Z55" s="10">
        <v>8</v>
      </c>
      <c r="AA55" s="10">
        <v>8</v>
      </c>
      <c r="AB55" s="10">
        <v>3</v>
      </c>
      <c r="AC55" s="26">
        <f t="shared" si="3"/>
        <v>19</v>
      </c>
      <c r="AD55" s="25">
        <v>5</v>
      </c>
      <c r="AE55" s="93">
        <f t="shared" si="4"/>
        <v>69</v>
      </c>
      <c r="AF55" s="101">
        <f t="shared" si="5"/>
        <v>27.583333333333336</v>
      </c>
      <c r="AG55" s="1"/>
      <c r="AH55" s="1"/>
      <c r="AI55" s="1"/>
      <c r="AJ55" s="1"/>
      <c r="AK55" s="1"/>
      <c r="AL55" s="1"/>
      <c r="AM55" s="1"/>
    </row>
    <row r="56" spans="2:39" ht="19.2" customHeight="1" x14ac:dyDescent="0.3">
      <c r="B56" s="8">
        <v>42</v>
      </c>
      <c r="C56" s="15" t="s">
        <v>80</v>
      </c>
      <c r="D56" s="8"/>
      <c r="E56" s="10"/>
      <c r="F56" s="10"/>
      <c r="G56" s="10"/>
      <c r="H56" s="10"/>
      <c r="I56" s="11"/>
      <c r="J56" s="10">
        <f t="shared" si="0"/>
        <v>0</v>
      </c>
      <c r="K56" s="12"/>
      <c r="L56" s="10"/>
      <c r="M56" s="10"/>
      <c r="N56" s="10"/>
      <c r="O56" s="10">
        <f t="shared" si="1"/>
        <v>0</v>
      </c>
      <c r="P56" s="10"/>
      <c r="Q56" s="13"/>
      <c r="R56" s="16"/>
      <c r="S56" s="8">
        <v>6</v>
      </c>
      <c r="T56" s="10">
        <v>6</v>
      </c>
      <c r="U56" s="10">
        <v>6</v>
      </c>
      <c r="V56" s="10">
        <v>6</v>
      </c>
      <c r="W56" s="11">
        <v>6</v>
      </c>
      <c r="X56" s="26">
        <f t="shared" si="2"/>
        <v>30</v>
      </c>
      <c r="Y56" s="26">
        <v>17</v>
      </c>
      <c r="Z56" s="10">
        <v>8</v>
      </c>
      <c r="AA56" s="10">
        <v>8</v>
      </c>
      <c r="AB56" s="10">
        <v>3</v>
      </c>
      <c r="AC56" s="26">
        <f t="shared" si="3"/>
        <v>19</v>
      </c>
      <c r="AD56" s="25">
        <v>5</v>
      </c>
      <c r="AE56" s="93">
        <f t="shared" si="4"/>
        <v>71</v>
      </c>
      <c r="AF56" s="101">
        <f t="shared" si="5"/>
        <v>28.25</v>
      </c>
      <c r="AG56" s="1"/>
      <c r="AH56" s="1"/>
      <c r="AI56" s="1"/>
      <c r="AJ56" s="1"/>
      <c r="AK56" s="1"/>
      <c r="AL56" s="1"/>
      <c r="AM56" s="1"/>
    </row>
    <row r="57" spans="2:39" ht="19.2" customHeight="1" x14ac:dyDescent="0.3">
      <c r="B57" s="8">
        <v>43</v>
      </c>
      <c r="C57" s="15" t="s">
        <v>81</v>
      </c>
      <c r="D57" s="8"/>
      <c r="E57" s="10"/>
      <c r="F57" s="10"/>
      <c r="G57" s="10"/>
      <c r="H57" s="10"/>
      <c r="I57" s="11"/>
      <c r="J57" s="10">
        <f t="shared" si="0"/>
        <v>0</v>
      </c>
      <c r="K57" s="12"/>
      <c r="L57" s="10"/>
      <c r="M57" s="10"/>
      <c r="N57" s="10"/>
      <c r="O57" s="10">
        <f t="shared" si="1"/>
        <v>0</v>
      </c>
      <c r="P57" s="10"/>
      <c r="Q57" s="13"/>
      <c r="R57" s="16"/>
      <c r="S57" s="8">
        <v>5</v>
      </c>
      <c r="T57" s="10">
        <v>6</v>
      </c>
      <c r="U57" s="10">
        <v>4</v>
      </c>
      <c r="V57" s="10">
        <v>6</v>
      </c>
      <c r="W57" s="11">
        <v>6</v>
      </c>
      <c r="X57" s="26">
        <f t="shared" si="2"/>
        <v>27</v>
      </c>
      <c r="Y57" s="26">
        <v>19</v>
      </c>
      <c r="Z57" s="10">
        <v>8</v>
      </c>
      <c r="AA57" s="10">
        <v>8</v>
      </c>
      <c r="AB57" s="10">
        <v>3</v>
      </c>
      <c r="AC57" s="26">
        <f t="shared" si="3"/>
        <v>19</v>
      </c>
      <c r="AD57" s="25">
        <v>5</v>
      </c>
      <c r="AE57" s="93">
        <f t="shared" si="4"/>
        <v>70</v>
      </c>
      <c r="AF57" s="101">
        <f t="shared" si="5"/>
        <v>28.25</v>
      </c>
      <c r="AG57" s="1"/>
      <c r="AH57" s="1"/>
      <c r="AI57" s="1"/>
      <c r="AJ57" s="1"/>
      <c r="AK57" s="1"/>
      <c r="AL57" s="1"/>
      <c r="AM57" s="1"/>
    </row>
    <row r="58" spans="2:39" ht="19.2" customHeight="1" x14ac:dyDescent="0.3">
      <c r="B58" s="8">
        <v>44</v>
      </c>
      <c r="C58" s="15" t="s">
        <v>82</v>
      </c>
      <c r="D58" s="8"/>
      <c r="E58" s="10"/>
      <c r="F58" s="10"/>
      <c r="G58" s="17"/>
      <c r="H58" s="10"/>
      <c r="I58" s="11"/>
      <c r="J58" s="10">
        <f t="shared" si="0"/>
        <v>0</v>
      </c>
      <c r="K58" s="12"/>
      <c r="L58" s="10"/>
      <c r="M58" s="10"/>
      <c r="N58" s="10"/>
      <c r="O58" s="10">
        <f t="shared" si="1"/>
        <v>0</v>
      </c>
      <c r="P58" s="10"/>
      <c r="Q58" s="13"/>
      <c r="R58" s="16"/>
      <c r="S58" s="8">
        <v>4</v>
      </c>
      <c r="T58" s="10">
        <v>3</v>
      </c>
      <c r="U58" s="10">
        <v>3</v>
      </c>
      <c r="V58" s="10">
        <v>3</v>
      </c>
      <c r="W58" s="11">
        <v>5</v>
      </c>
      <c r="X58" s="26">
        <f t="shared" si="2"/>
        <v>18</v>
      </c>
      <c r="Y58" s="26">
        <v>17</v>
      </c>
      <c r="Z58" s="10">
        <v>8</v>
      </c>
      <c r="AA58" s="10">
        <v>5</v>
      </c>
      <c r="AB58" s="10">
        <v>1</v>
      </c>
      <c r="AC58" s="26">
        <f t="shared" si="3"/>
        <v>14</v>
      </c>
      <c r="AD58" s="25">
        <v>5</v>
      </c>
      <c r="AE58" s="93">
        <f t="shared" si="4"/>
        <v>54</v>
      </c>
      <c r="AF58" s="101">
        <f t="shared" si="5"/>
        <v>23</v>
      </c>
      <c r="AG58" s="1"/>
      <c r="AH58" s="1"/>
      <c r="AI58" s="1"/>
      <c r="AJ58" s="1"/>
      <c r="AK58" s="1"/>
      <c r="AL58" s="1"/>
      <c r="AM58" s="1"/>
    </row>
    <row r="59" spans="2:39" ht="19.2" customHeight="1" x14ac:dyDescent="0.3">
      <c r="B59" s="8">
        <v>45</v>
      </c>
      <c r="C59" s="15" t="s">
        <v>83</v>
      </c>
      <c r="D59" s="8"/>
      <c r="E59" s="10"/>
      <c r="F59" s="10"/>
      <c r="G59" s="10"/>
      <c r="H59" s="17"/>
      <c r="I59" s="11"/>
      <c r="J59" s="10">
        <f t="shared" si="0"/>
        <v>0</v>
      </c>
      <c r="K59" s="12"/>
      <c r="L59" s="10"/>
      <c r="M59" s="10"/>
      <c r="N59" s="10"/>
      <c r="O59" s="10">
        <f t="shared" si="1"/>
        <v>0</v>
      </c>
      <c r="P59" s="10"/>
      <c r="Q59" s="13"/>
      <c r="R59" s="16"/>
      <c r="S59" s="8">
        <v>6</v>
      </c>
      <c r="T59" s="10">
        <v>6</v>
      </c>
      <c r="U59" s="10">
        <v>5</v>
      </c>
      <c r="V59" s="10">
        <v>6</v>
      </c>
      <c r="W59" s="11">
        <v>4</v>
      </c>
      <c r="X59" s="26">
        <f t="shared" si="2"/>
        <v>27</v>
      </c>
      <c r="Y59" s="26">
        <v>16</v>
      </c>
      <c r="Z59" s="10">
        <v>8</v>
      </c>
      <c r="AA59" s="10">
        <v>6</v>
      </c>
      <c r="AB59" s="10">
        <v>3</v>
      </c>
      <c r="AC59" s="26">
        <f t="shared" si="3"/>
        <v>17</v>
      </c>
      <c r="AD59" s="25">
        <v>5</v>
      </c>
      <c r="AE59" s="93">
        <f t="shared" si="4"/>
        <v>65</v>
      </c>
      <c r="AF59" s="101">
        <f t="shared" si="5"/>
        <v>26.25</v>
      </c>
      <c r="AG59" s="1"/>
      <c r="AH59" s="1"/>
      <c r="AI59" s="1"/>
      <c r="AJ59" s="1"/>
      <c r="AK59" s="1"/>
      <c r="AL59" s="1"/>
      <c r="AM59" s="1"/>
    </row>
    <row r="60" spans="2:39" ht="19.2" customHeight="1" x14ac:dyDescent="0.3">
      <c r="B60" s="8">
        <v>46</v>
      </c>
      <c r="C60" s="15" t="s">
        <v>84</v>
      </c>
      <c r="D60" s="8"/>
      <c r="E60" s="10"/>
      <c r="F60" s="10"/>
      <c r="G60" s="10"/>
      <c r="H60" s="10"/>
      <c r="I60" s="11"/>
      <c r="J60" s="10">
        <f t="shared" si="0"/>
        <v>0</v>
      </c>
      <c r="K60" s="12"/>
      <c r="L60" s="10"/>
      <c r="M60" s="10"/>
      <c r="N60" s="10"/>
      <c r="O60" s="10">
        <f t="shared" si="1"/>
        <v>0</v>
      </c>
      <c r="P60" s="10"/>
      <c r="Q60" s="13"/>
      <c r="R60" s="16"/>
      <c r="S60" s="8">
        <v>5</v>
      </c>
      <c r="T60" s="10">
        <v>5</v>
      </c>
      <c r="U60" s="10">
        <v>4</v>
      </c>
      <c r="V60" s="10">
        <v>4</v>
      </c>
      <c r="W60" s="11">
        <v>4</v>
      </c>
      <c r="X60" s="26">
        <f t="shared" si="2"/>
        <v>22</v>
      </c>
      <c r="Y60" s="26">
        <v>11</v>
      </c>
      <c r="Z60" s="10">
        <v>8</v>
      </c>
      <c r="AA60" s="10">
        <v>0</v>
      </c>
      <c r="AB60" s="10">
        <v>3</v>
      </c>
      <c r="AC60" s="26">
        <f t="shared" si="3"/>
        <v>11</v>
      </c>
      <c r="AD60" s="25">
        <v>5</v>
      </c>
      <c r="AE60" s="93">
        <f t="shared" si="4"/>
        <v>49</v>
      </c>
      <c r="AF60" s="101">
        <f t="shared" si="5"/>
        <v>20.583333333333332</v>
      </c>
      <c r="AG60" s="1"/>
      <c r="AH60" s="1"/>
      <c r="AI60" s="1"/>
      <c r="AJ60" s="1"/>
      <c r="AK60" s="1"/>
      <c r="AL60" s="1"/>
      <c r="AM60" s="1"/>
    </row>
    <row r="61" spans="2:39" ht="19.2" customHeight="1" x14ac:dyDescent="0.3">
      <c r="B61" s="8">
        <v>47</v>
      </c>
      <c r="C61" s="15" t="s">
        <v>85</v>
      </c>
      <c r="D61" s="8"/>
      <c r="E61" s="10"/>
      <c r="F61" s="10"/>
      <c r="G61" s="17"/>
      <c r="H61" s="10"/>
      <c r="I61" s="11"/>
      <c r="J61" s="10">
        <f t="shared" si="0"/>
        <v>0</v>
      </c>
      <c r="K61" s="12"/>
      <c r="L61" s="10"/>
      <c r="M61" s="10"/>
      <c r="N61" s="10"/>
      <c r="O61" s="10">
        <f t="shared" si="1"/>
        <v>0</v>
      </c>
      <c r="P61" s="10"/>
      <c r="Q61" s="13"/>
      <c r="R61" s="16"/>
      <c r="S61" s="8">
        <v>6</v>
      </c>
      <c r="T61" s="10">
        <v>6</v>
      </c>
      <c r="U61" s="10">
        <v>6</v>
      </c>
      <c r="V61" s="10">
        <v>5</v>
      </c>
      <c r="W61" s="11">
        <v>6</v>
      </c>
      <c r="X61" s="26">
        <f t="shared" si="2"/>
        <v>29</v>
      </c>
      <c r="Y61" s="26">
        <v>16</v>
      </c>
      <c r="Z61" s="10">
        <v>8</v>
      </c>
      <c r="AA61" s="10">
        <v>6</v>
      </c>
      <c r="AB61" s="10">
        <v>4</v>
      </c>
      <c r="AC61" s="26">
        <f t="shared" si="3"/>
        <v>18</v>
      </c>
      <c r="AD61" s="25">
        <v>5</v>
      </c>
      <c r="AE61" s="93">
        <f t="shared" si="4"/>
        <v>68</v>
      </c>
      <c r="AF61" s="101">
        <f t="shared" si="5"/>
        <v>27.166666666666664</v>
      </c>
      <c r="AG61" s="1"/>
      <c r="AH61" s="1"/>
      <c r="AI61" s="1"/>
      <c r="AJ61" s="1"/>
      <c r="AK61" s="1"/>
      <c r="AL61" s="1"/>
      <c r="AM61" s="1"/>
    </row>
    <row r="62" spans="2:39" ht="19.2" customHeight="1" x14ac:dyDescent="0.3">
      <c r="B62" s="8">
        <v>48</v>
      </c>
      <c r="C62" s="15" t="s">
        <v>86</v>
      </c>
      <c r="D62" s="8"/>
      <c r="E62" s="10"/>
      <c r="F62" s="10"/>
      <c r="G62" s="10"/>
      <c r="H62" s="10"/>
      <c r="I62" s="11"/>
      <c r="J62" s="10">
        <f t="shared" si="0"/>
        <v>0</v>
      </c>
      <c r="K62" s="12"/>
      <c r="L62" s="10"/>
      <c r="M62" s="10"/>
      <c r="N62" s="10"/>
      <c r="O62" s="10">
        <f t="shared" si="1"/>
        <v>0</v>
      </c>
      <c r="P62" s="10"/>
      <c r="Q62" s="13"/>
      <c r="R62" s="16"/>
      <c r="S62" s="8">
        <v>5</v>
      </c>
      <c r="T62" s="10">
        <v>5</v>
      </c>
      <c r="U62" s="10">
        <v>5</v>
      </c>
      <c r="V62" s="10">
        <v>6</v>
      </c>
      <c r="W62" s="11">
        <v>4</v>
      </c>
      <c r="X62" s="26">
        <f t="shared" si="2"/>
        <v>25</v>
      </c>
      <c r="Y62" s="26">
        <v>18</v>
      </c>
      <c r="Z62" s="10">
        <v>8</v>
      </c>
      <c r="AA62" s="10">
        <v>8</v>
      </c>
      <c r="AB62" s="10">
        <v>4</v>
      </c>
      <c r="AC62" s="26">
        <f t="shared" si="3"/>
        <v>20</v>
      </c>
      <c r="AD62" s="25">
        <v>5</v>
      </c>
      <c r="AE62" s="93">
        <f t="shared" si="4"/>
        <v>68</v>
      </c>
      <c r="AF62" s="101">
        <f t="shared" si="5"/>
        <v>27.333333333333336</v>
      </c>
      <c r="AG62" s="1"/>
      <c r="AH62" s="1"/>
      <c r="AI62" s="1"/>
      <c r="AJ62" s="1"/>
      <c r="AK62" s="1"/>
      <c r="AL62" s="1"/>
      <c r="AM62" s="1"/>
    </row>
    <row r="63" spans="2:39" ht="19.2" customHeight="1" x14ac:dyDescent="0.3">
      <c r="B63" s="8">
        <v>49</v>
      </c>
      <c r="C63" s="15" t="s">
        <v>87</v>
      </c>
      <c r="D63" s="8"/>
      <c r="E63" s="10"/>
      <c r="F63" s="10"/>
      <c r="G63" s="10"/>
      <c r="H63" s="10"/>
      <c r="I63" s="11"/>
      <c r="J63" s="10">
        <f t="shared" si="0"/>
        <v>0</v>
      </c>
      <c r="K63" s="12"/>
      <c r="L63" s="10"/>
      <c r="M63" s="10"/>
      <c r="N63" s="10"/>
      <c r="O63" s="10">
        <f t="shared" si="1"/>
        <v>0</v>
      </c>
      <c r="P63" s="10"/>
      <c r="Q63" s="13"/>
      <c r="R63" s="16"/>
      <c r="S63" s="8">
        <v>4</v>
      </c>
      <c r="T63" s="10">
        <v>4</v>
      </c>
      <c r="U63" s="10">
        <v>4</v>
      </c>
      <c r="V63" s="10">
        <v>4</v>
      </c>
      <c r="W63" s="11">
        <v>1</v>
      </c>
      <c r="X63" s="26">
        <f t="shared" si="2"/>
        <v>17</v>
      </c>
      <c r="Y63" s="26">
        <v>10</v>
      </c>
      <c r="Z63" s="10">
        <v>8</v>
      </c>
      <c r="AA63" s="10">
        <v>5</v>
      </c>
      <c r="AB63" s="10">
        <v>4</v>
      </c>
      <c r="AC63" s="26">
        <f t="shared" si="3"/>
        <v>17</v>
      </c>
      <c r="AD63" s="25">
        <v>5</v>
      </c>
      <c r="AE63" s="93">
        <f t="shared" si="4"/>
        <v>49</v>
      </c>
      <c r="AF63" s="101">
        <f t="shared" si="5"/>
        <v>19.916666666666668</v>
      </c>
      <c r="AG63" s="1"/>
      <c r="AH63" s="1"/>
      <c r="AI63" s="1"/>
      <c r="AJ63" s="1"/>
      <c r="AK63" s="1"/>
      <c r="AL63" s="1"/>
      <c r="AM63" s="1"/>
    </row>
    <row r="64" spans="2:39" ht="19.2" customHeight="1" x14ac:dyDescent="0.3">
      <c r="B64" s="8">
        <v>50</v>
      </c>
      <c r="C64" s="15" t="s">
        <v>88</v>
      </c>
      <c r="D64" s="8"/>
      <c r="E64" s="10"/>
      <c r="F64" s="10"/>
      <c r="G64" s="10"/>
      <c r="H64" s="10"/>
      <c r="I64" s="11"/>
      <c r="J64" s="10">
        <f t="shared" si="0"/>
        <v>0</v>
      </c>
      <c r="K64" s="12"/>
      <c r="L64" s="10"/>
      <c r="M64" s="10"/>
      <c r="N64" s="10"/>
      <c r="O64" s="10">
        <f t="shared" si="1"/>
        <v>0</v>
      </c>
      <c r="P64" s="10"/>
      <c r="Q64" s="13"/>
      <c r="R64" s="16"/>
      <c r="S64" s="8">
        <v>5</v>
      </c>
      <c r="T64" s="10">
        <v>6</v>
      </c>
      <c r="U64" s="10">
        <v>5</v>
      </c>
      <c r="V64" s="10">
        <v>6</v>
      </c>
      <c r="W64" s="11">
        <v>4</v>
      </c>
      <c r="X64" s="26">
        <f t="shared" si="2"/>
        <v>26</v>
      </c>
      <c r="Y64" s="26">
        <v>16</v>
      </c>
      <c r="Z64" s="10">
        <v>8</v>
      </c>
      <c r="AA64" s="10">
        <v>6</v>
      </c>
      <c r="AB64" s="10">
        <v>4</v>
      </c>
      <c r="AC64" s="26">
        <f t="shared" si="3"/>
        <v>18</v>
      </c>
      <c r="AD64" s="25">
        <v>5</v>
      </c>
      <c r="AE64" s="93">
        <f t="shared" si="4"/>
        <v>65</v>
      </c>
      <c r="AF64" s="101">
        <f t="shared" si="5"/>
        <v>26.166666666666664</v>
      </c>
      <c r="AG64" s="1"/>
      <c r="AH64" s="1"/>
      <c r="AI64" s="1"/>
      <c r="AJ64" s="1"/>
      <c r="AK64" s="1"/>
      <c r="AL64" s="1"/>
      <c r="AM64" s="1"/>
    </row>
    <row r="65" spans="2:39" ht="19.2" customHeight="1" x14ac:dyDescent="0.3">
      <c r="B65" s="8">
        <v>51</v>
      </c>
      <c r="C65" s="15" t="s">
        <v>89</v>
      </c>
      <c r="D65" s="8"/>
      <c r="E65" s="10"/>
      <c r="F65" s="10"/>
      <c r="G65" s="10"/>
      <c r="H65" s="10"/>
      <c r="I65" s="11"/>
      <c r="J65" s="10">
        <f t="shared" si="0"/>
        <v>0</v>
      </c>
      <c r="K65" s="12"/>
      <c r="L65" s="10"/>
      <c r="M65" s="10"/>
      <c r="N65" s="10"/>
      <c r="O65" s="10">
        <f t="shared" si="1"/>
        <v>0</v>
      </c>
      <c r="P65" s="10"/>
      <c r="Q65" s="13"/>
      <c r="R65" s="16"/>
      <c r="S65" s="8">
        <v>3</v>
      </c>
      <c r="T65" s="10">
        <v>2</v>
      </c>
      <c r="U65" s="10">
        <v>5</v>
      </c>
      <c r="V65" s="10">
        <v>3</v>
      </c>
      <c r="W65" s="11">
        <v>5</v>
      </c>
      <c r="X65" s="26">
        <f t="shared" si="2"/>
        <v>18</v>
      </c>
      <c r="Y65" s="26">
        <v>15</v>
      </c>
      <c r="Z65" s="10">
        <v>8</v>
      </c>
      <c r="AA65" s="10">
        <v>1</v>
      </c>
      <c r="AB65" s="10">
        <v>4</v>
      </c>
      <c r="AC65" s="26">
        <f t="shared" si="3"/>
        <v>13</v>
      </c>
      <c r="AD65" s="25">
        <v>5</v>
      </c>
      <c r="AE65" s="93">
        <f t="shared" si="4"/>
        <v>51</v>
      </c>
      <c r="AF65" s="101">
        <f t="shared" si="5"/>
        <v>21.75</v>
      </c>
      <c r="AG65" s="1"/>
      <c r="AH65" s="1"/>
      <c r="AI65" s="1"/>
      <c r="AJ65" s="1"/>
      <c r="AK65" s="1"/>
      <c r="AL65" s="1"/>
      <c r="AM65" s="1"/>
    </row>
    <row r="66" spans="2:39" ht="19.2" customHeight="1" x14ac:dyDescent="0.3">
      <c r="B66" s="8">
        <v>52</v>
      </c>
      <c r="C66" s="15" t="s">
        <v>90</v>
      </c>
      <c r="D66" s="8"/>
      <c r="E66" s="10"/>
      <c r="F66" s="10"/>
      <c r="G66" s="10"/>
      <c r="H66" s="10"/>
      <c r="I66" s="11"/>
      <c r="J66" s="10">
        <f t="shared" si="0"/>
        <v>0</v>
      </c>
      <c r="K66" s="12"/>
      <c r="L66" s="10"/>
      <c r="M66" s="10"/>
      <c r="N66" s="10"/>
      <c r="O66" s="10">
        <f t="shared" si="1"/>
        <v>0</v>
      </c>
      <c r="P66" s="10"/>
      <c r="Q66" s="13"/>
      <c r="R66" s="16"/>
      <c r="S66" s="8">
        <v>3</v>
      </c>
      <c r="T66" s="10">
        <v>6</v>
      </c>
      <c r="U66" s="10">
        <v>4</v>
      </c>
      <c r="V66" s="10">
        <v>4</v>
      </c>
      <c r="W66" s="11">
        <v>3</v>
      </c>
      <c r="X66" s="26">
        <f t="shared" si="2"/>
        <v>20</v>
      </c>
      <c r="Y66" s="26">
        <v>10</v>
      </c>
      <c r="Z66" s="10">
        <v>6</v>
      </c>
      <c r="AA66" s="10">
        <v>4</v>
      </c>
      <c r="AB66" s="10">
        <v>2</v>
      </c>
      <c r="AC66" s="26">
        <f t="shared" si="3"/>
        <v>12</v>
      </c>
      <c r="AD66" s="25">
        <v>5</v>
      </c>
      <c r="AE66" s="93">
        <f t="shared" si="4"/>
        <v>47</v>
      </c>
      <c r="AF66" s="101">
        <f t="shared" si="5"/>
        <v>19.666666666666668</v>
      </c>
      <c r="AG66" s="1"/>
      <c r="AH66" s="1"/>
      <c r="AI66" s="1"/>
      <c r="AJ66" s="1"/>
      <c r="AK66" s="1"/>
      <c r="AL66" s="1"/>
      <c r="AM66" s="1"/>
    </row>
    <row r="67" spans="2:39" ht="19.2" customHeight="1" x14ac:dyDescent="0.3">
      <c r="B67" s="8">
        <v>53</v>
      </c>
      <c r="C67" s="15" t="s">
        <v>91</v>
      </c>
      <c r="D67" s="8"/>
      <c r="E67" s="10"/>
      <c r="F67" s="10"/>
      <c r="G67" s="10"/>
      <c r="H67" s="17"/>
      <c r="I67" s="11"/>
      <c r="J67" s="10">
        <f t="shared" si="0"/>
        <v>0</v>
      </c>
      <c r="K67" s="12"/>
      <c r="L67" s="10"/>
      <c r="M67" s="10"/>
      <c r="N67" s="10"/>
      <c r="O67" s="10">
        <f t="shared" si="1"/>
        <v>0</v>
      </c>
      <c r="P67" s="10"/>
      <c r="Q67" s="13"/>
      <c r="R67" s="16"/>
      <c r="S67" s="8">
        <v>6</v>
      </c>
      <c r="T67" s="10">
        <v>5</v>
      </c>
      <c r="U67" s="10">
        <v>4</v>
      </c>
      <c r="V67" s="10">
        <v>4</v>
      </c>
      <c r="W67" s="11">
        <v>2</v>
      </c>
      <c r="X67" s="26">
        <f t="shared" si="2"/>
        <v>21</v>
      </c>
      <c r="Y67" s="26">
        <v>17</v>
      </c>
      <c r="Z67" s="10">
        <v>7</v>
      </c>
      <c r="AA67" s="10">
        <v>7</v>
      </c>
      <c r="AB67" s="10">
        <v>3</v>
      </c>
      <c r="AC67" s="26">
        <f t="shared" si="3"/>
        <v>17</v>
      </c>
      <c r="AD67" s="25">
        <v>5</v>
      </c>
      <c r="AE67" s="93">
        <f t="shared" si="4"/>
        <v>60</v>
      </c>
      <c r="AF67" s="101">
        <f t="shared" si="5"/>
        <v>24.75</v>
      </c>
      <c r="AG67" s="1"/>
      <c r="AH67" s="1"/>
      <c r="AI67" s="1"/>
      <c r="AJ67" s="1"/>
      <c r="AK67" s="1"/>
      <c r="AL67" s="1"/>
      <c r="AM67" s="1"/>
    </row>
    <row r="68" spans="2:39" ht="19.2" customHeight="1" x14ac:dyDescent="0.3">
      <c r="B68" s="8">
        <v>54</v>
      </c>
      <c r="C68" s="15" t="s">
        <v>92</v>
      </c>
      <c r="D68" s="8"/>
      <c r="E68" s="10"/>
      <c r="F68" s="10"/>
      <c r="G68" s="10"/>
      <c r="H68" s="10"/>
      <c r="I68" s="11"/>
      <c r="J68" s="10">
        <f t="shared" si="0"/>
        <v>0</v>
      </c>
      <c r="K68" s="12"/>
      <c r="L68" s="10"/>
      <c r="M68" s="10"/>
      <c r="N68" s="10"/>
      <c r="O68" s="10">
        <f t="shared" si="1"/>
        <v>0</v>
      </c>
      <c r="P68" s="10"/>
      <c r="Q68" s="13"/>
      <c r="R68" s="16"/>
      <c r="S68" s="8">
        <v>5</v>
      </c>
      <c r="T68" s="10">
        <v>5</v>
      </c>
      <c r="U68" s="10">
        <v>4</v>
      </c>
      <c r="V68" s="10">
        <v>6</v>
      </c>
      <c r="W68" s="11">
        <v>3</v>
      </c>
      <c r="X68" s="26">
        <f t="shared" si="2"/>
        <v>23</v>
      </c>
      <c r="Y68" s="26">
        <v>19</v>
      </c>
      <c r="Z68" s="10">
        <v>7</v>
      </c>
      <c r="AA68" s="10">
        <v>6</v>
      </c>
      <c r="AB68" s="10">
        <v>3</v>
      </c>
      <c r="AC68" s="26">
        <f t="shared" si="3"/>
        <v>16</v>
      </c>
      <c r="AD68" s="25">
        <v>5</v>
      </c>
      <c r="AE68" s="93">
        <f t="shared" si="4"/>
        <v>63</v>
      </c>
      <c r="AF68" s="101">
        <f t="shared" si="5"/>
        <v>26.166666666666668</v>
      </c>
      <c r="AG68" s="1"/>
      <c r="AH68" s="1"/>
      <c r="AI68" s="1"/>
      <c r="AJ68" s="1"/>
      <c r="AK68" s="1"/>
      <c r="AL68" s="1"/>
      <c r="AM68" s="1"/>
    </row>
    <row r="69" spans="2:39" ht="19.2" customHeight="1" x14ac:dyDescent="0.3">
      <c r="B69" s="8">
        <v>55</v>
      </c>
      <c r="C69" s="15" t="s">
        <v>93</v>
      </c>
      <c r="D69" s="8"/>
      <c r="E69" s="10"/>
      <c r="F69" s="10"/>
      <c r="G69" s="17"/>
      <c r="H69" s="17"/>
      <c r="I69" s="11"/>
      <c r="J69" s="10">
        <f t="shared" si="0"/>
        <v>0</v>
      </c>
      <c r="K69" s="18"/>
      <c r="L69" s="10"/>
      <c r="M69" s="10"/>
      <c r="N69" s="10"/>
      <c r="O69" s="10">
        <f t="shared" si="1"/>
        <v>0</v>
      </c>
      <c r="P69" s="10"/>
      <c r="Q69" s="13"/>
      <c r="R69" s="16"/>
      <c r="S69" s="8">
        <v>4</v>
      </c>
      <c r="T69" s="10">
        <v>3</v>
      </c>
      <c r="U69" s="10">
        <v>4</v>
      </c>
      <c r="V69" s="10">
        <v>2</v>
      </c>
      <c r="W69" s="11">
        <v>1</v>
      </c>
      <c r="X69" s="26">
        <f t="shared" si="2"/>
        <v>14</v>
      </c>
      <c r="Y69" s="26">
        <v>18</v>
      </c>
      <c r="Z69" s="10">
        <v>4</v>
      </c>
      <c r="AA69" s="10">
        <v>2</v>
      </c>
      <c r="AB69" s="10">
        <v>3</v>
      </c>
      <c r="AC69" s="26">
        <f t="shared" si="3"/>
        <v>9</v>
      </c>
      <c r="AD69" s="25">
        <v>5</v>
      </c>
      <c r="AE69" s="93">
        <f t="shared" si="4"/>
        <v>46</v>
      </c>
      <c r="AF69" s="101">
        <f t="shared" si="5"/>
        <v>20.916666666666668</v>
      </c>
      <c r="AG69" s="1"/>
      <c r="AH69" s="1"/>
      <c r="AI69" s="1"/>
      <c r="AJ69" s="1"/>
      <c r="AK69" s="1"/>
      <c r="AL69" s="1"/>
      <c r="AM69" s="1"/>
    </row>
    <row r="70" spans="2:39" ht="19.2" customHeight="1" x14ac:dyDescent="0.3">
      <c r="B70" s="8">
        <v>56</v>
      </c>
      <c r="C70" s="15" t="s">
        <v>94</v>
      </c>
      <c r="D70" s="8"/>
      <c r="E70" s="10"/>
      <c r="F70" s="10"/>
      <c r="G70" s="10"/>
      <c r="H70" s="10"/>
      <c r="I70" s="11"/>
      <c r="J70" s="10">
        <f t="shared" si="0"/>
        <v>0</v>
      </c>
      <c r="K70" s="19"/>
      <c r="L70" s="10"/>
      <c r="M70" s="10"/>
      <c r="N70" s="10"/>
      <c r="O70" s="10">
        <f t="shared" si="1"/>
        <v>0</v>
      </c>
      <c r="P70" s="10"/>
      <c r="Q70" s="13"/>
      <c r="R70" s="16"/>
      <c r="S70" s="8">
        <v>5</v>
      </c>
      <c r="T70" s="10">
        <v>6</v>
      </c>
      <c r="U70" s="10">
        <v>5</v>
      </c>
      <c r="V70" s="10">
        <v>6</v>
      </c>
      <c r="W70" s="11">
        <v>4</v>
      </c>
      <c r="X70" s="26">
        <f t="shared" si="2"/>
        <v>26</v>
      </c>
      <c r="Y70" s="26">
        <v>11</v>
      </c>
      <c r="Z70" s="10">
        <v>8</v>
      </c>
      <c r="AA70" s="10">
        <v>7</v>
      </c>
      <c r="AB70" s="10">
        <v>2</v>
      </c>
      <c r="AC70" s="26">
        <f t="shared" si="3"/>
        <v>17</v>
      </c>
      <c r="AD70" s="25">
        <v>5</v>
      </c>
      <c r="AE70" s="93">
        <f t="shared" si="4"/>
        <v>59</v>
      </c>
      <c r="AF70" s="101">
        <f t="shared" si="5"/>
        <v>23.416666666666664</v>
      </c>
      <c r="AG70" s="1"/>
      <c r="AH70" s="1"/>
      <c r="AI70" s="1"/>
      <c r="AJ70" s="1"/>
      <c r="AK70" s="1"/>
      <c r="AL70" s="1"/>
      <c r="AM70" s="1"/>
    </row>
    <row r="71" spans="2:39" ht="19.2" customHeight="1" x14ac:dyDescent="0.3">
      <c r="B71" s="8">
        <v>57</v>
      </c>
      <c r="C71" s="22" t="s">
        <v>95</v>
      </c>
      <c r="D71" s="21"/>
      <c r="E71" s="24"/>
      <c r="F71" s="24"/>
      <c r="G71" s="50"/>
      <c r="H71" s="24"/>
      <c r="I71" s="30"/>
      <c r="J71" s="24">
        <f t="shared" si="0"/>
        <v>0</v>
      </c>
      <c r="K71" s="41"/>
      <c r="L71" s="24"/>
      <c r="M71" s="24"/>
      <c r="N71" s="24"/>
      <c r="O71" s="24">
        <f t="shared" si="1"/>
        <v>0</v>
      </c>
      <c r="P71" s="24"/>
      <c r="Q71" s="40"/>
      <c r="R71" s="23"/>
      <c r="S71" s="21">
        <v>3</v>
      </c>
      <c r="T71" s="24">
        <v>3</v>
      </c>
      <c r="U71" s="24">
        <v>1</v>
      </c>
      <c r="V71" s="24">
        <v>2</v>
      </c>
      <c r="W71" s="30">
        <v>3</v>
      </c>
      <c r="X71" s="26">
        <f t="shared" si="2"/>
        <v>12</v>
      </c>
      <c r="Y71" s="26">
        <v>16</v>
      </c>
      <c r="Z71" s="24">
        <v>6</v>
      </c>
      <c r="AA71" s="24">
        <v>6</v>
      </c>
      <c r="AB71" s="24">
        <v>3</v>
      </c>
      <c r="AC71" s="26">
        <f t="shared" si="3"/>
        <v>15</v>
      </c>
      <c r="AD71" s="25">
        <v>5</v>
      </c>
      <c r="AE71" s="93">
        <f t="shared" si="4"/>
        <v>48</v>
      </c>
      <c r="AF71" s="101">
        <f t="shared" si="5"/>
        <v>20.75</v>
      </c>
      <c r="AG71" s="1"/>
      <c r="AH71" s="1"/>
      <c r="AI71" s="1"/>
      <c r="AJ71" s="1"/>
      <c r="AK71" s="1"/>
      <c r="AL71" s="1"/>
      <c r="AM71" s="1"/>
    </row>
    <row r="72" spans="2:39" ht="19.2" customHeight="1" x14ac:dyDescent="0.3">
      <c r="B72" s="8">
        <v>58</v>
      </c>
      <c r="C72" s="42" t="s">
        <v>96</v>
      </c>
      <c r="D72" s="31"/>
      <c r="E72" s="31"/>
      <c r="F72" s="31"/>
      <c r="G72" s="31"/>
      <c r="H72" s="31"/>
      <c r="I72" s="43"/>
      <c r="J72" s="31">
        <f t="shared" si="0"/>
        <v>0</v>
      </c>
      <c r="K72" s="44"/>
      <c r="L72" s="31"/>
      <c r="M72" s="31"/>
      <c r="N72" s="31"/>
      <c r="O72" s="31">
        <f t="shared" si="1"/>
        <v>0</v>
      </c>
      <c r="P72" s="31"/>
      <c r="Q72" s="31"/>
      <c r="R72" s="16"/>
      <c r="S72" s="31">
        <v>4</v>
      </c>
      <c r="T72" s="31">
        <v>6</v>
      </c>
      <c r="U72" s="31">
        <v>2</v>
      </c>
      <c r="V72" s="31">
        <v>6</v>
      </c>
      <c r="W72" s="43">
        <v>6</v>
      </c>
      <c r="X72" s="26">
        <f t="shared" si="2"/>
        <v>24</v>
      </c>
      <c r="Y72" s="26">
        <v>18</v>
      </c>
      <c r="Z72" s="31">
        <v>8</v>
      </c>
      <c r="AA72" s="31">
        <v>3</v>
      </c>
      <c r="AB72" s="31">
        <v>2</v>
      </c>
      <c r="AC72" s="26">
        <f t="shared" si="3"/>
        <v>13</v>
      </c>
      <c r="AD72" s="25">
        <v>5</v>
      </c>
      <c r="AE72" s="93">
        <f t="shared" si="4"/>
        <v>60</v>
      </c>
      <c r="AF72" s="101">
        <f t="shared" si="5"/>
        <v>25.25</v>
      </c>
      <c r="AG72" s="1"/>
      <c r="AH72" s="1"/>
      <c r="AI72" s="1"/>
      <c r="AJ72" s="1"/>
      <c r="AK72" s="1"/>
      <c r="AL72" s="1"/>
      <c r="AM72" s="1"/>
    </row>
    <row r="73" spans="2:39" ht="19.2" customHeight="1" x14ac:dyDescent="0.3">
      <c r="B73" s="8">
        <v>59</v>
      </c>
      <c r="C73" s="42" t="s">
        <v>97</v>
      </c>
      <c r="D73" s="31"/>
      <c r="E73" s="31"/>
      <c r="F73" s="31"/>
      <c r="G73" s="45"/>
      <c r="H73" s="31"/>
      <c r="I73" s="43"/>
      <c r="J73" s="31"/>
      <c r="K73" s="44"/>
      <c r="L73" s="31"/>
      <c r="M73" s="31"/>
      <c r="N73" s="31"/>
      <c r="O73" s="31"/>
      <c r="P73" s="31"/>
      <c r="Q73" s="31"/>
      <c r="R73" s="16"/>
      <c r="S73" s="31">
        <v>4</v>
      </c>
      <c r="T73" s="31">
        <v>5</v>
      </c>
      <c r="U73" s="31">
        <v>3</v>
      </c>
      <c r="V73" s="31">
        <v>3</v>
      </c>
      <c r="W73" s="43">
        <v>3</v>
      </c>
      <c r="X73" s="26">
        <f t="shared" si="2"/>
        <v>18</v>
      </c>
      <c r="Y73" s="26">
        <v>15</v>
      </c>
      <c r="Z73" s="31">
        <v>8</v>
      </c>
      <c r="AA73" s="31">
        <v>3</v>
      </c>
      <c r="AB73" s="31">
        <v>3</v>
      </c>
      <c r="AC73" s="26">
        <f t="shared" si="3"/>
        <v>14</v>
      </c>
      <c r="AD73" s="25">
        <v>5</v>
      </c>
      <c r="AE73" s="93">
        <f t="shared" si="4"/>
        <v>52</v>
      </c>
      <c r="AF73" s="101">
        <f t="shared" si="5"/>
        <v>22</v>
      </c>
      <c r="AG73" s="1"/>
      <c r="AH73" s="1"/>
      <c r="AI73" s="1"/>
      <c r="AJ73" s="1"/>
      <c r="AK73" s="1"/>
      <c r="AL73" s="1"/>
      <c r="AM73" s="1"/>
    </row>
    <row r="74" spans="2:39" ht="19.2" customHeight="1" x14ac:dyDescent="0.3">
      <c r="B74" s="8">
        <v>60</v>
      </c>
      <c r="C74" s="42" t="s">
        <v>98</v>
      </c>
      <c r="D74" s="31"/>
      <c r="E74" s="31"/>
      <c r="F74" s="31"/>
      <c r="G74" s="45"/>
      <c r="H74" s="31"/>
      <c r="I74" s="43"/>
      <c r="J74" s="31"/>
      <c r="K74" s="44"/>
      <c r="L74" s="31"/>
      <c r="M74" s="31"/>
      <c r="N74" s="31"/>
      <c r="O74" s="31"/>
      <c r="P74" s="31"/>
      <c r="Q74" s="31"/>
      <c r="R74" s="16"/>
      <c r="S74" s="31">
        <v>5</v>
      </c>
      <c r="T74" s="31">
        <v>6</v>
      </c>
      <c r="U74" s="31">
        <v>5</v>
      </c>
      <c r="V74" s="31">
        <v>6</v>
      </c>
      <c r="W74" s="43">
        <v>5</v>
      </c>
      <c r="X74" s="26">
        <f t="shared" si="2"/>
        <v>27</v>
      </c>
      <c r="Y74" s="26">
        <v>14</v>
      </c>
      <c r="Z74" s="31">
        <v>7</v>
      </c>
      <c r="AA74" s="31">
        <v>7</v>
      </c>
      <c r="AB74" s="31">
        <v>4</v>
      </c>
      <c r="AC74" s="26">
        <f t="shared" si="3"/>
        <v>18</v>
      </c>
      <c r="AD74" s="25">
        <v>5</v>
      </c>
      <c r="AE74" s="93">
        <f t="shared" si="4"/>
        <v>64</v>
      </c>
      <c r="AF74" s="101">
        <f t="shared" si="5"/>
        <v>25.5</v>
      </c>
      <c r="AG74" s="1"/>
      <c r="AH74" s="1"/>
      <c r="AI74" s="1"/>
      <c r="AJ74" s="1"/>
      <c r="AK74" s="1"/>
      <c r="AL74" s="1"/>
      <c r="AM74" s="1"/>
    </row>
    <row r="75" spans="2:39" ht="19.2" customHeight="1" x14ac:dyDescent="0.3">
      <c r="B75" s="8">
        <v>61</v>
      </c>
      <c r="C75" s="42" t="s">
        <v>99</v>
      </c>
      <c r="D75" s="31"/>
      <c r="E75" s="31"/>
      <c r="F75" s="31"/>
      <c r="G75" s="45"/>
      <c r="H75" s="31"/>
      <c r="I75" s="43"/>
      <c r="J75" s="31"/>
      <c r="K75" s="44"/>
      <c r="L75" s="31"/>
      <c r="M75" s="31"/>
      <c r="N75" s="31"/>
      <c r="O75" s="31"/>
      <c r="P75" s="31"/>
      <c r="Q75" s="31"/>
      <c r="R75" s="16"/>
      <c r="S75" s="31">
        <v>6</v>
      </c>
      <c r="T75" s="31">
        <v>6</v>
      </c>
      <c r="U75" s="31">
        <v>5</v>
      </c>
      <c r="V75" s="31">
        <v>5</v>
      </c>
      <c r="W75" s="43">
        <v>5</v>
      </c>
      <c r="X75" s="26">
        <f t="shared" si="2"/>
        <v>27</v>
      </c>
      <c r="Y75" s="26">
        <v>12</v>
      </c>
      <c r="Z75" s="31">
        <v>7</v>
      </c>
      <c r="AA75" s="31">
        <v>6</v>
      </c>
      <c r="AB75" s="31">
        <v>3</v>
      </c>
      <c r="AC75" s="26">
        <f t="shared" si="3"/>
        <v>16</v>
      </c>
      <c r="AD75" s="25">
        <v>5</v>
      </c>
      <c r="AE75" s="93">
        <f t="shared" si="4"/>
        <v>60</v>
      </c>
      <c r="AF75" s="101">
        <f t="shared" si="5"/>
        <v>24</v>
      </c>
    </row>
    <row r="76" spans="2:39" ht="19.2" customHeight="1" x14ac:dyDescent="0.3">
      <c r="B76" s="8">
        <v>62</v>
      </c>
      <c r="C76" s="42" t="s">
        <v>100</v>
      </c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31"/>
      <c r="R76" s="16"/>
      <c r="S76" s="42">
        <v>3</v>
      </c>
      <c r="T76" s="42">
        <v>0</v>
      </c>
      <c r="U76" s="42">
        <v>3</v>
      </c>
      <c r="V76" s="42">
        <v>3</v>
      </c>
      <c r="W76" s="42">
        <v>3</v>
      </c>
      <c r="X76" s="26">
        <f t="shared" si="2"/>
        <v>12</v>
      </c>
      <c r="Y76" s="26">
        <v>11</v>
      </c>
      <c r="Z76" s="31">
        <v>6</v>
      </c>
      <c r="AA76" s="31">
        <v>1</v>
      </c>
      <c r="AB76" s="31">
        <v>2</v>
      </c>
      <c r="AC76" s="26">
        <f t="shared" si="3"/>
        <v>9</v>
      </c>
      <c r="AD76" s="25">
        <v>5</v>
      </c>
      <c r="AE76" s="93">
        <f t="shared" si="4"/>
        <v>37</v>
      </c>
      <c r="AF76" s="101">
        <f t="shared" si="5"/>
        <v>16.75</v>
      </c>
    </row>
    <row r="77" spans="2:39" ht="19.2" customHeight="1" x14ac:dyDescent="0.3">
      <c r="B77" s="8">
        <v>63</v>
      </c>
      <c r="C77" s="42" t="s">
        <v>101</v>
      </c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31"/>
      <c r="R77" s="16"/>
      <c r="S77" s="42">
        <v>4</v>
      </c>
      <c r="T77" s="42">
        <v>5</v>
      </c>
      <c r="U77" s="42">
        <v>3</v>
      </c>
      <c r="V77" s="42">
        <v>3</v>
      </c>
      <c r="W77" s="42">
        <v>2</v>
      </c>
      <c r="X77" s="26">
        <f t="shared" si="2"/>
        <v>17</v>
      </c>
      <c r="Y77" s="26">
        <v>17</v>
      </c>
      <c r="Z77" s="31">
        <v>7</v>
      </c>
      <c r="AA77" s="31">
        <v>7</v>
      </c>
      <c r="AB77" s="31">
        <v>3</v>
      </c>
      <c r="AC77" s="26">
        <f t="shared" si="3"/>
        <v>17</v>
      </c>
      <c r="AD77" s="25">
        <v>5</v>
      </c>
      <c r="AE77" s="93">
        <f t="shared" si="4"/>
        <v>56</v>
      </c>
      <c r="AF77" s="101">
        <f t="shared" si="5"/>
        <v>23.416666666666668</v>
      </c>
    </row>
    <row r="78" spans="2:39" ht="19.2" customHeight="1" x14ac:dyDescent="0.3">
      <c r="B78" s="8">
        <v>64</v>
      </c>
      <c r="C78" s="42" t="s">
        <v>102</v>
      </c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31"/>
      <c r="R78" s="16"/>
      <c r="S78" s="42">
        <v>5</v>
      </c>
      <c r="T78" s="42">
        <v>6</v>
      </c>
      <c r="U78" s="42">
        <v>6</v>
      </c>
      <c r="V78" s="42">
        <v>6</v>
      </c>
      <c r="W78" s="42">
        <v>5</v>
      </c>
      <c r="X78" s="26">
        <f t="shared" si="2"/>
        <v>28</v>
      </c>
      <c r="Y78" s="26">
        <v>11</v>
      </c>
      <c r="Z78" s="31">
        <v>8</v>
      </c>
      <c r="AA78" s="31">
        <v>4</v>
      </c>
      <c r="AB78" s="31">
        <v>4</v>
      </c>
      <c r="AC78" s="26">
        <f t="shared" si="3"/>
        <v>16</v>
      </c>
      <c r="AD78" s="25">
        <v>5</v>
      </c>
      <c r="AE78" s="93">
        <f t="shared" si="4"/>
        <v>60</v>
      </c>
      <c r="AF78" s="101">
        <f t="shared" si="5"/>
        <v>23.833333333333336</v>
      </c>
    </row>
    <row r="79" spans="2:39" ht="19.2" customHeight="1" x14ac:dyDescent="0.3">
      <c r="B79" s="8">
        <v>65</v>
      </c>
      <c r="C79" s="42" t="s">
        <v>103</v>
      </c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31"/>
      <c r="R79" s="16"/>
      <c r="S79" s="42">
        <v>4</v>
      </c>
      <c r="T79" s="42">
        <v>6</v>
      </c>
      <c r="U79" s="42">
        <v>5</v>
      </c>
      <c r="V79" s="42">
        <v>4</v>
      </c>
      <c r="W79" s="42">
        <v>6</v>
      </c>
      <c r="X79" s="26">
        <f t="shared" si="2"/>
        <v>25</v>
      </c>
      <c r="Y79" s="26">
        <v>13</v>
      </c>
      <c r="Z79" s="31">
        <v>8</v>
      </c>
      <c r="AA79" s="31">
        <v>7</v>
      </c>
      <c r="AB79" s="31">
        <v>4</v>
      </c>
      <c r="AC79" s="26">
        <f t="shared" si="3"/>
        <v>19</v>
      </c>
      <c r="AD79" s="25">
        <v>5</v>
      </c>
      <c r="AE79" s="93">
        <f t="shared" si="4"/>
        <v>62</v>
      </c>
      <c r="AF79" s="101">
        <f t="shared" si="5"/>
        <v>24.583333333333336</v>
      </c>
    </row>
    <row r="80" spans="2:39" ht="15.6" x14ac:dyDescent="0.3">
      <c r="B80" s="8">
        <v>66</v>
      </c>
      <c r="C80" s="47" t="s">
        <v>104</v>
      </c>
      <c r="D80" s="48"/>
      <c r="E80" s="48"/>
      <c r="F80" s="48"/>
      <c r="G80" s="48"/>
      <c r="H80" s="48"/>
      <c r="I80" s="48"/>
      <c r="J80" s="47"/>
      <c r="K80" s="48"/>
      <c r="L80" s="48"/>
      <c r="M80" s="48"/>
      <c r="N80" s="48"/>
      <c r="O80" s="47"/>
      <c r="P80" s="48"/>
      <c r="Q80" s="48"/>
      <c r="R80" s="49"/>
      <c r="S80" s="42">
        <v>6</v>
      </c>
      <c r="T80" s="42">
        <v>6</v>
      </c>
      <c r="U80" s="42">
        <v>4</v>
      </c>
      <c r="V80" s="42">
        <v>5</v>
      </c>
      <c r="W80" s="42">
        <v>6</v>
      </c>
      <c r="X80" s="26">
        <f t="shared" ref="X80:X143" si="6">SUM(S80:W80)</f>
        <v>27</v>
      </c>
      <c r="Y80" s="26">
        <v>6</v>
      </c>
      <c r="Z80" s="46">
        <v>7</v>
      </c>
      <c r="AA80" s="46">
        <v>7</v>
      </c>
      <c r="AB80" s="46">
        <v>4</v>
      </c>
      <c r="AC80" s="26">
        <f t="shared" ref="AC80:AC143" si="7">SUM(Z80:AB80)</f>
        <v>18</v>
      </c>
      <c r="AD80" s="25">
        <v>5</v>
      </c>
      <c r="AE80" s="93">
        <f t="shared" ref="AE80:AE143" si="8">SUM(X80,Y80,AC80,AD80)</f>
        <v>56</v>
      </c>
      <c r="AF80" s="101">
        <f t="shared" ref="AF80:AF143" si="9">(X80/3)+(Y80/2)+(AC80/4)+(AD80)</f>
        <v>21.5</v>
      </c>
    </row>
    <row r="81" spans="2:32" ht="15.6" x14ac:dyDescent="0.3">
      <c r="B81" s="8">
        <v>67</v>
      </c>
      <c r="C81" s="47" t="s">
        <v>105</v>
      </c>
      <c r="D81" s="48"/>
      <c r="E81" s="48"/>
      <c r="F81" s="48"/>
      <c r="G81" s="48"/>
      <c r="H81" s="48"/>
      <c r="I81" s="48"/>
      <c r="J81" s="47"/>
      <c r="K81" s="48"/>
      <c r="L81" s="48"/>
      <c r="M81" s="48"/>
      <c r="N81" s="48"/>
      <c r="O81" s="47"/>
      <c r="P81" s="48"/>
      <c r="Q81" s="48"/>
      <c r="R81" s="49"/>
      <c r="S81" s="42">
        <v>2</v>
      </c>
      <c r="T81" s="42">
        <v>2</v>
      </c>
      <c r="U81" s="42">
        <v>4</v>
      </c>
      <c r="V81" s="42">
        <v>5</v>
      </c>
      <c r="W81" s="42">
        <v>6</v>
      </c>
      <c r="X81" s="26">
        <f t="shared" si="6"/>
        <v>19</v>
      </c>
      <c r="Y81" s="26">
        <v>8</v>
      </c>
      <c r="Z81" s="46">
        <v>4</v>
      </c>
      <c r="AA81" s="46">
        <v>8</v>
      </c>
      <c r="AB81" s="46">
        <v>3</v>
      </c>
      <c r="AC81" s="26">
        <f t="shared" si="7"/>
        <v>15</v>
      </c>
      <c r="AD81" s="25">
        <v>5</v>
      </c>
      <c r="AE81" s="93">
        <f t="shared" si="8"/>
        <v>47</v>
      </c>
      <c r="AF81" s="101">
        <f t="shared" si="9"/>
        <v>19.083333333333332</v>
      </c>
    </row>
    <row r="82" spans="2:32" ht="15.6" x14ac:dyDescent="0.3">
      <c r="B82" s="8">
        <v>68</v>
      </c>
      <c r="C82" s="48" t="s">
        <v>106</v>
      </c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2">
        <v>5</v>
      </c>
      <c r="T82" s="42">
        <v>6</v>
      </c>
      <c r="U82" s="42">
        <v>4</v>
      </c>
      <c r="V82" s="42">
        <v>5</v>
      </c>
      <c r="W82" s="42">
        <v>5</v>
      </c>
      <c r="X82" s="26">
        <f t="shared" si="6"/>
        <v>25</v>
      </c>
      <c r="Y82" s="26">
        <v>14</v>
      </c>
      <c r="Z82" s="47">
        <v>6</v>
      </c>
      <c r="AA82" s="47">
        <v>3</v>
      </c>
      <c r="AB82" s="47">
        <v>4</v>
      </c>
      <c r="AC82" s="26">
        <f t="shared" si="7"/>
        <v>13</v>
      </c>
      <c r="AD82" s="25">
        <v>5</v>
      </c>
      <c r="AE82" s="93">
        <f t="shared" si="8"/>
        <v>57</v>
      </c>
      <c r="AF82" s="101">
        <f t="shared" si="9"/>
        <v>23.583333333333336</v>
      </c>
    </row>
    <row r="83" spans="2:32" ht="15.6" x14ac:dyDescent="0.3">
      <c r="B83" s="8">
        <v>69</v>
      </c>
      <c r="C83" s="48" t="s">
        <v>107</v>
      </c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2">
        <v>6</v>
      </c>
      <c r="T83" s="42">
        <v>6</v>
      </c>
      <c r="U83" s="42">
        <v>5</v>
      </c>
      <c r="V83" s="42">
        <v>6</v>
      </c>
      <c r="W83" s="42">
        <v>0</v>
      </c>
      <c r="X83" s="26">
        <f t="shared" si="6"/>
        <v>23</v>
      </c>
      <c r="Y83" s="26">
        <v>5</v>
      </c>
      <c r="Z83" s="47">
        <v>8</v>
      </c>
      <c r="AA83" s="47">
        <v>0</v>
      </c>
      <c r="AB83" s="47">
        <v>3</v>
      </c>
      <c r="AC83" s="26">
        <f t="shared" si="7"/>
        <v>11</v>
      </c>
      <c r="AD83" s="25">
        <v>5</v>
      </c>
      <c r="AE83" s="93">
        <f t="shared" si="8"/>
        <v>44</v>
      </c>
      <c r="AF83" s="101">
        <f t="shared" si="9"/>
        <v>17.916666666666668</v>
      </c>
    </row>
    <row r="84" spans="2:32" ht="15.6" x14ac:dyDescent="0.3">
      <c r="B84" s="8">
        <v>70</v>
      </c>
      <c r="C84" s="48" t="s">
        <v>108</v>
      </c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2">
        <v>4</v>
      </c>
      <c r="T84" s="42">
        <v>3</v>
      </c>
      <c r="U84" s="42">
        <v>0</v>
      </c>
      <c r="V84" s="42">
        <v>4</v>
      </c>
      <c r="W84" s="42">
        <v>3</v>
      </c>
      <c r="X84" s="26">
        <f t="shared" si="6"/>
        <v>14</v>
      </c>
      <c r="Y84" s="26">
        <v>17</v>
      </c>
      <c r="Z84" s="47">
        <v>8</v>
      </c>
      <c r="AA84" s="47">
        <v>1</v>
      </c>
      <c r="AB84" s="47">
        <v>3</v>
      </c>
      <c r="AC84" s="26">
        <f t="shared" si="7"/>
        <v>12</v>
      </c>
      <c r="AD84" s="25">
        <v>5</v>
      </c>
      <c r="AE84" s="93">
        <f t="shared" si="8"/>
        <v>48</v>
      </c>
      <c r="AF84" s="101">
        <f t="shared" si="9"/>
        <v>21.166666666666668</v>
      </c>
    </row>
    <row r="85" spans="2:32" ht="15.6" x14ac:dyDescent="0.3">
      <c r="B85" s="8">
        <v>71</v>
      </c>
      <c r="C85" s="48" t="s">
        <v>109</v>
      </c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2">
        <v>4</v>
      </c>
      <c r="T85" s="42">
        <v>5</v>
      </c>
      <c r="U85" s="42">
        <v>4</v>
      </c>
      <c r="V85" s="42">
        <v>5</v>
      </c>
      <c r="W85" s="42">
        <v>0</v>
      </c>
      <c r="X85" s="26">
        <f t="shared" si="6"/>
        <v>18</v>
      </c>
      <c r="Y85" s="26">
        <v>19</v>
      </c>
      <c r="Z85" s="47">
        <v>8</v>
      </c>
      <c r="AA85" s="51">
        <v>5</v>
      </c>
      <c r="AB85" s="51">
        <v>0</v>
      </c>
      <c r="AC85" s="26">
        <f t="shared" si="7"/>
        <v>13</v>
      </c>
      <c r="AD85" s="25">
        <v>5</v>
      </c>
      <c r="AE85" s="93">
        <f t="shared" si="8"/>
        <v>55</v>
      </c>
      <c r="AF85" s="101">
        <f t="shared" si="9"/>
        <v>23.75</v>
      </c>
    </row>
    <row r="86" spans="2:32" ht="15.6" x14ac:dyDescent="0.3">
      <c r="B86" s="8">
        <v>72</v>
      </c>
      <c r="C86" s="48" t="s">
        <v>110</v>
      </c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2">
        <v>5</v>
      </c>
      <c r="T86" s="42">
        <v>4</v>
      </c>
      <c r="U86" s="42">
        <v>5</v>
      </c>
      <c r="V86" s="42">
        <v>3</v>
      </c>
      <c r="W86" s="42">
        <v>3</v>
      </c>
      <c r="X86" s="26">
        <f t="shared" si="6"/>
        <v>20</v>
      </c>
      <c r="Y86" s="26">
        <v>16</v>
      </c>
      <c r="Z86" s="51">
        <v>6</v>
      </c>
      <c r="AA86" s="51">
        <v>6</v>
      </c>
      <c r="AB86" s="51">
        <v>3</v>
      </c>
      <c r="AC86" s="26">
        <f t="shared" si="7"/>
        <v>15</v>
      </c>
      <c r="AD86" s="25">
        <v>5</v>
      </c>
      <c r="AE86" s="93">
        <f t="shared" si="8"/>
        <v>56</v>
      </c>
      <c r="AF86" s="101">
        <f t="shared" si="9"/>
        <v>23.416666666666668</v>
      </c>
    </row>
    <row r="87" spans="2:32" ht="15.6" x14ac:dyDescent="0.3">
      <c r="B87" s="8">
        <v>73</v>
      </c>
      <c r="C87" s="48" t="s">
        <v>111</v>
      </c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2">
        <v>5</v>
      </c>
      <c r="T87" s="42">
        <v>6</v>
      </c>
      <c r="U87" s="42">
        <v>4</v>
      </c>
      <c r="V87" s="42">
        <v>4</v>
      </c>
      <c r="W87" s="42">
        <v>5</v>
      </c>
      <c r="X87" s="26">
        <f t="shared" si="6"/>
        <v>24</v>
      </c>
      <c r="Y87" s="26">
        <v>17</v>
      </c>
      <c r="Z87" s="51">
        <v>6</v>
      </c>
      <c r="AA87" s="51">
        <v>6</v>
      </c>
      <c r="AB87" s="51">
        <v>0</v>
      </c>
      <c r="AC87" s="26">
        <f t="shared" si="7"/>
        <v>12</v>
      </c>
      <c r="AD87" s="25">
        <v>5</v>
      </c>
      <c r="AE87" s="93">
        <f t="shared" si="8"/>
        <v>58</v>
      </c>
      <c r="AF87" s="101">
        <f t="shared" si="9"/>
        <v>24.5</v>
      </c>
    </row>
    <row r="88" spans="2:32" ht="15.6" x14ac:dyDescent="0.3">
      <c r="B88" s="8">
        <v>74</v>
      </c>
      <c r="C88" s="48" t="s">
        <v>112</v>
      </c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2">
        <v>4</v>
      </c>
      <c r="T88" s="42">
        <v>6</v>
      </c>
      <c r="U88" s="42">
        <v>4</v>
      </c>
      <c r="V88" s="42">
        <v>6</v>
      </c>
      <c r="W88" s="42">
        <v>6</v>
      </c>
      <c r="X88" s="26">
        <f t="shared" si="6"/>
        <v>26</v>
      </c>
      <c r="Y88" s="26">
        <v>16</v>
      </c>
      <c r="Z88" s="51">
        <v>7</v>
      </c>
      <c r="AA88" s="51">
        <v>3</v>
      </c>
      <c r="AB88" s="51">
        <v>3</v>
      </c>
      <c r="AC88" s="26">
        <f t="shared" si="7"/>
        <v>13</v>
      </c>
      <c r="AD88" s="25">
        <v>5</v>
      </c>
      <c r="AE88" s="93">
        <f t="shared" si="8"/>
        <v>60</v>
      </c>
      <c r="AF88" s="101">
        <f t="shared" si="9"/>
        <v>24.916666666666664</v>
      </c>
    </row>
    <row r="89" spans="2:32" ht="15.6" x14ac:dyDescent="0.3">
      <c r="B89" s="8">
        <v>75</v>
      </c>
      <c r="C89" s="48" t="s">
        <v>113</v>
      </c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2">
        <v>3</v>
      </c>
      <c r="T89" s="42">
        <v>6</v>
      </c>
      <c r="U89" s="42">
        <v>4</v>
      </c>
      <c r="V89" s="42">
        <v>6</v>
      </c>
      <c r="W89" s="42">
        <v>6</v>
      </c>
      <c r="X89" s="26">
        <f t="shared" si="6"/>
        <v>25</v>
      </c>
      <c r="Y89" s="26">
        <v>8</v>
      </c>
      <c r="Z89" s="51">
        <v>7</v>
      </c>
      <c r="AA89" s="51">
        <v>5</v>
      </c>
      <c r="AB89" s="51">
        <v>4</v>
      </c>
      <c r="AC89" s="26">
        <f t="shared" si="7"/>
        <v>16</v>
      </c>
      <c r="AD89" s="25">
        <v>5</v>
      </c>
      <c r="AE89" s="93">
        <f t="shared" si="8"/>
        <v>54</v>
      </c>
      <c r="AF89" s="101">
        <f t="shared" si="9"/>
        <v>21.333333333333336</v>
      </c>
    </row>
    <row r="90" spans="2:32" ht="15.6" x14ac:dyDescent="0.3">
      <c r="B90" s="8">
        <v>76</v>
      </c>
      <c r="C90" s="48" t="s">
        <v>114</v>
      </c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90">
        <v>3</v>
      </c>
      <c r="T90" s="90">
        <v>0</v>
      </c>
      <c r="U90" s="90">
        <v>4</v>
      </c>
      <c r="V90" s="90">
        <v>5</v>
      </c>
      <c r="W90" s="90">
        <v>3</v>
      </c>
      <c r="X90" s="26">
        <f t="shared" si="6"/>
        <v>15</v>
      </c>
      <c r="Y90" s="26">
        <v>18</v>
      </c>
      <c r="Z90" s="51">
        <v>8</v>
      </c>
      <c r="AA90" s="51">
        <v>2</v>
      </c>
      <c r="AB90" s="51">
        <v>4</v>
      </c>
      <c r="AC90" s="26">
        <f t="shared" si="7"/>
        <v>14</v>
      </c>
      <c r="AD90" s="25">
        <v>5</v>
      </c>
      <c r="AE90" s="93">
        <f t="shared" si="8"/>
        <v>52</v>
      </c>
      <c r="AF90" s="101">
        <f t="shared" si="9"/>
        <v>22.5</v>
      </c>
    </row>
    <row r="91" spans="2:32" ht="15.6" x14ac:dyDescent="0.3">
      <c r="B91" s="8">
        <v>77</v>
      </c>
      <c r="C91" s="48" t="s">
        <v>115</v>
      </c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89"/>
      <c r="S91" s="48"/>
      <c r="T91" s="48"/>
      <c r="U91" s="48"/>
      <c r="V91" s="48"/>
      <c r="W91" s="48"/>
      <c r="X91" s="26">
        <f>SUM(S91:W91)</f>
        <v>0</v>
      </c>
      <c r="Y91" s="26">
        <v>0</v>
      </c>
      <c r="Z91" s="51"/>
      <c r="AA91" s="51"/>
      <c r="AB91" s="51"/>
      <c r="AC91" s="26">
        <f t="shared" si="7"/>
        <v>0</v>
      </c>
      <c r="AD91" s="25">
        <v>5</v>
      </c>
      <c r="AE91" s="93">
        <f t="shared" si="8"/>
        <v>5</v>
      </c>
      <c r="AF91" s="101">
        <f t="shared" si="9"/>
        <v>5</v>
      </c>
    </row>
    <row r="92" spans="2:32" ht="15.6" x14ac:dyDescent="0.3">
      <c r="B92" s="8">
        <v>78</v>
      </c>
      <c r="C92" s="48" t="s">
        <v>116</v>
      </c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89"/>
      <c r="S92" s="91">
        <v>5</v>
      </c>
      <c r="T92" s="91">
        <v>6</v>
      </c>
      <c r="U92" s="91">
        <v>4</v>
      </c>
      <c r="V92" s="91">
        <v>4</v>
      </c>
      <c r="W92" s="91">
        <v>1</v>
      </c>
      <c r="X92" s="26">
        <f>SUM(S92:W92)</f>
        <v>20</v>
      </c>
      <c r="Y92" s="26">
        <v>18</v>
      </c>
      <c r="Z92" s="51">
        <v>7</v>
      </c>
      <c r="AA92" s="51">
        <v>7</v>
      </c>
      <c r="AB92" s="51">
        <v>2</v>
      </c>
      <c r="AC92" s="26">
        <f t="shared" si="7"/>
        <v>16</v>
      </c>
      <c r="AD92" s="25">
        <v>5</v>
      </c>
      <c r="AE92" s="93">
        <f t="shared" si="8"/>
        <v>59</v>
      </c>
      <c r="AF92" s="101">
        <f t="shared" si="9"/>
        <v>24.666666666666668</v>
      </c>
    </row>
    <row r="93" spans="2:32" ht="15.6" x14ac:dyDescent="0.3">
      <c r="B93" s="8">
        <v>79</v>
      </c>
      <c r="C93" s="48" t="s">
        <v>117</v>
      </c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90">
        <v>3</v>
      </c>
      <c r="T93" s="90">
        <v>5</v>
      </c>
      <c r="U93" s="90">
        <v>4</v>
      </c>
      <c r="V93" s="90">
        <v>5</v>
      </c>
      <c r="W93">
        <v>6</v>
      </c>
      <c r="X93" s="26">
        <f>SUM(S93:W93)</f>
        <v>23</v>
      </c>
      <c r="Y93" s="26">
        <v>7</v>
      </c>
      <c r="Z93" s="51">
        <v>7</v>
      </c>
      <c r="AA93" s="51">
        <v>6</v>
      </c>
      <c r="AB93" s="51">
        <v>4</v>
      </c>
      <c r="AC93" s="26">
        <f t="shared" si="7"/>
        <v>17</v>
      </c>
      <c r="AD93" s="25">
        <v>5</v>
      </c>
      <c r="AE93" s="93">
        <f t="shared" si="8"/>
        <v>52</v>
      </c>
      <c r="AF93" s="101">
        <f t="shared" si="9"/>
        <v>20.416666666666668</v>
      </c>
    </row>
    <row r="94" spans="2:32" ht="15.6" x14ac:dyDescent="0.3">
      <c r="B94" s="8">
        <v>80</v>
      </c>
      <c r="C94" s="48" t="s">
        <v>118</v>
      </c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89"/>
      <c r="S94" s="48">
        <v>5</v>
      </c>
      <c r="T94" s="48">
        <v>6</v>
      </c>
      <c r="U94" s="48">
        <v>4</v>
      </c>
      <c r="V94" s="48">
        <v>6</v>
      </c>
      <c r="W94" s="42">
        <v>3</v>
      </c>
      <c r="X94" s="26">
        <f>SUM(S94:W94)</f>
        <v>24</v>
      </c>
      <c r="Y94" s="26">
        <v>3</v>
      </c>
      <c r="Z94" s="51">
        <v>8</v>
      </c>
      <c r="AA94" s="51">
        <v>7</v>
      </c>
      <c r="AB94" s="51">
        <v>0</v>
      </c>
      <c r="AC94" s="26">
        <f t="shared" si="7"/>
        <v>15</v>
      </c>
      <c r="AD94" s="25">
        <v>5</v>
      </c>
      <c r="AE94" s="93">
        <f t="shared" si="8"/>
        <v>47</v>
      </c>
      <c r="AF94" s="101">
        <f t="shared" si="9"/>
        <v>18.25</v>
      </c>
    </row>
    <row r="95" spans="2:32" ht="15.6" x14ac:dyDescent="0.3">
      <c r="B95" s="8">
        <v>81</v>
      </c>
      <c r="C95" s="48" t="s">
        <v>119</v>
      </c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91">
        <v>4</v>
      </c>
      <c r="T95" s="91">
        <v>5</v>
      </c>
      <c r="U95" s="91">
        <v>4</v>
      </c>
      <c r="V95" s="91">
        <v>4</v>
      </c>
      <c r="W95" s="91">
        <v>6</v>
      </c>
      <c r="X95" s="26">
        <f t="shared" si="6"/>
        <v>23</v>
      </c>
      <c r="Y95" s="26">
        <v>13</v>
      </c>
      <c r="Z95" s="51">
        <v>8</v>
      </c>
      <c r="AA95" s="51">
        <v>7</v>
      </c>
      <c r="AB95" s="51">
        <v>0</v>
      </c>
      <c r="AC95" s="26">
        <f t="shared" si="7"/>
        <v>15</v>
      </c>
      <c r="AD95" s="25">
        <v>5</v>
      </c>
      <c r="AE95" s="93">
        <f t="shared" si="8"/>
        <v>56</v>
      </c>
      <c r="AF95" s="101">
        <f t="shared" si="9"/>
        <v>22.916666666666668</v>
      </c>
    </row>
    <row r="96" spans="2:32" ht="15.6" x14ac:dyDescent="0.3">
      <c r="B96" s="8">
        <v>82</v>
      </c>
      <c r="C96" s="48" t="s">
        <v>120</v>
      </c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2">
        <v>5</v>
      </c>
      <c r="T96" s="42">
        <v>6</v>
      </c>
      <c r="U96" s="42">
        <v>5</v>
      </c>
      <c r="V96" s="42">
        <v>3</v>
      </c>
      <c r="W96" s="42">
        <v>3</v>
      </c>
      <c r="X96" s="26">
        <f t="shared" si="6"/>
        <v>22</v>
      </c>
      <c r="Y96" s="26">
        <v>15</v>
      </c>
      <c r="Z96" s="51">
        <v>6</v>
      </c>
      <c r="AA96" s="51">
        <v>1</v>
      </c>
      <c r="AB96" s="51">
        <v>1</v>
      </c>
      <c r="AC96" s="26">
        <f t="shared" si="7"/>
        <v>8</v>
      </c>
      <c r="AD96" s="25">
        <v>5</v>
      </c>
      <c r="AE96" s="93">
        <f t="shared" si="8"/>
        <v>50</v>
      </c>
      <c r="AF96" s="101">
        <f t="shared" si="9"/>
        <v>21.833333333333332</v>
      </c>
    </row>
    <row r="97" spans="2:32" ht="15.6" x14ac:dyDescent="0.3">
      <c r="B97" s="8">
        <v>83</v>
      </c>
      <c r="C97" s="48" t="s">
        <v>121</v>
      </c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2">
        <v>6</v>
      </c>
      <c r="T97" s="42">
        <v>6</v>
      </c>
      <c r="U97" s="42">
        <v>5</v>
      </c>
      <c r="V97" s="42">
        <v>5</v>
      </c>
      <c r="W97" s="42">
        <v>6</v>
      </c>
      <c r="X97" s="26">
        <f t="shared" si="6"/>
        <v>28</v>
      </c>
      <c r="Y97" s="26">
        <v>15</v>
      </c>
      <c r="Z97" s="51">
        <v>7</v>
      </c>
      <c r="AA97" s="51">
        <v>6</v>
      </c>
      <c r="AB97" s="51">
        <v>4</v>
      </c>
      <c r="AC97" s="26">
        <f t="shared" si="7"/>
        <v>17</v>
      </c>
      <c r="AD97" s="25">
        <v>5</v>
      </c>
      <c r="AE97" s="93">
        <f t="shared" si="8"/>
        <v>65</v>
      </c>
      <c r="AF97" s="101">
        <f t="shared" si="9"/>
        <v>26.083333333333336</v>
      </c>
    </row>
    <row r="98" spans="2:32" ht="15.6" x14ac:dyDescent="0.3">
      <c r="B98" s="8">
        <v>84</v>
      </c>
      <c r="C98" s="48" t="s">
        <v>122</v>
      </c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2">
        <v>6</v>
      </c>
      <c r="T98" s="42">
        <v>6</v>
      </c>
      <c r="U98" s="42">
        <v>3</v>
      </c>
      <c r="V98" s="42">
        <v>0</v>
      </c>
      <c r="W98" s="42">
        <v>4</v>
      </c>
      <c r="X98" s="26">
        <f t="shared" si="6"/>
        <v>19</v>
      </c>
      <c r="Y98" s="26">
        <v>18</v>
      </c>
      <c r="Z98" s="51">
        <v>8</v>
      </c>
      <c r="AA98" s="51">
        <v>5</v>
      </c>
      <c r="AB98" s="51">
        <v>3</v>
      </c>
      <c r="AC98" s="26">
        <f t="shared" si="7"/>
        <v>16</v>
      </c>
      <c r="AD98" s="25">
        <v>5</v>
      </c>
      <c r="AE98" s="93">
        <f t="shared" si="8"/>
        <v>58</v>
      </c>
      <c r="AF98" s="101">
        <f t="shared" si="9"/>
        <v>24.333333333333332</v>
      </c>
    </row>
    <row r="99" spans="2:32" ht="15.6" x14ac:dyDescent="0.3">
      <c r="B99" s="8">
        <v>85</v>
      </c>
      <c r="C99" s="48" t="s">
        <v>123</v>
      </c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2">
        <v>5</v>
      </c>
      <c r="T99" s="42">
        <v>6</v>
      </c>
      <c r="U99" s="42">
        <v>5</v>
      </c>
      <c r="V99" s="42">
        <v>5</v>
      </c>
      <c r="W99" s="42">
        <v>6</v>
      </c>
      <c r="X99" s="26">
        <f t="shared" si="6"/>
        <v>27</v>
      </c>
      <c r="Y99" s="26">
        <v>10</v>
      </c>
      <c r="Z99" s="51">
        <v>6</v>
      </c>
      <c r="AA99" s="51">
        <v>5</v>
      </c>
      <c r="AB99" s="51">
        <v>4</v>
      </c>
      <c r="AC99" s="26">
        <f t="shared" si="7"/>
        <v>15</v>
      </c>
      <c r="AD99" s="25">
        <v>5</v>
      </c>
      <c r="AE99" s="93">
        <f t="shared" si="8"/>
        <v>57</v>
      </c>
      <c r="AF99" s="101">
        <f t="shared" si="9"/>
        <v>22.75</v>
      </c>
    </row>
    <row r="100" spans="2:32" ht="15.6" x14ac:dyDescent="0.3">
      <c r="B100" s="8">
        <v>86</v>
      </c>
      <c r="C100" s="48" t="s">
        <v>124</v>
      </c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2">
        <v>4</v>
      </c>
      <c r="T100" s="42">
        <v>6</v>
      </c>
      <c r="U100" s="42">
        <v>6</v>
      </c>
      <c r="V100" s="42">
        <v>6</v>
      </c>
      <c r="W100" s="42">
        <v>4</v>
      </c>
      <c r="X100" s="26">
        <f t="shared" si="6"/>
        <v>26</v>
      </c>
      <c r="Y100" s="26">
        <v>17</v>
      </c>
      <c r="Z100" s="51">
        <v>8</v>
      </c>
      <c r="AA100" s="51">
        <v>6</v>
      </c>
      <c r="AB100" s="51">
        <v>4</v>
      </c>
      <c r="AC100" s="26">
        <f t="shared" si="7"/>
        <v>18</v>
      </c>
      <c r="AD100" s="25">
        <v>5</v>
      </c>
      <c r="AE100" s="93">
        <f t="shared" si="8"/>
        <v>66</v>
      </c>
      <c r="AF100" s="101">
        <f t="shared" si="9"/>
        <v>26.666666666666664</v>
      </c>
    </row>
    <row r="101" spans="2:32" ht="15.6" x14ac:dyDescent="0.3">
      <c r="B101" s="8">
        <v>87</v>
      </c>
      <c r="C101" s="48" t="s">
        <v>125</v>
      </c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2">
        <v>6</v>
      </c>
      <c r="T101" s="42">
        <v>6</v>
      </c>
      <c r="U101" s="42">
        <v>5</v>
      </c>
      <c r="V101" s="42">
        <v>5</v>
      </c>
      <c r="W101" s="42">
        <v>4</v>
      </c>
      <c r="X101" s="26">
        <f t="shared" si="6"/>
        <v>26</v>
      </c>
      <c r="Y101" s="26">
        <v>9</v>
      </c>
      <c r="Z101" s="51">
        <v>6</v>
      </c>
      <c r="AA101" s="51">
        <v>6</v>
      </c>
      <c r="AB101" s="51">
        <v>4</v>
      </c>
      <c r="AC101" s="26">
        <f t="shared" si="7"/>
        <v>16</v>
      </c>
      <c r="AD101" s="25">
        <v>5</v>
      </c>
      <c r="AE101" s="93">
        <f t="shared" si="8"/>
        <v>56</v>
      </c>
      <c r="AF101" s="101">
        <f t="shared" si="9"/>
        <v>22.166666666666664</v>
      </c>
    </row>
    <row r="102" spans="2:32" ht="15.6" x14ac:dyDescent="0.3">
      <c r="B102" s="8">
        <v>88</v>
      </c>
      <c r="C102" s="48" t="s">
        <v>126</v>
      </c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2">
        <v>4</v>
      </c>
      <c r="T102" s="42">
        <v>5</v>
      </c>
      <c r="U102" s="42">
        <v>4</v>
      </c>
      <c r="V102" s="42">
        <v>6</v>
      </c>
      <c r="W102" s="42">
        <v>0</v>
      </c>
      <c r="X102" s="26">
        <f t="shared" si="6"/>
        <v>19</v>
      </c>
      <c r="Y102" s="26">
        <v>17</v>
      </c>
      <c r="Z102" s="51">
        <v>6</v>
      </c>
      <c r="AA102" s="51">
        <v>5</v>
      </c>
      <c r="AB102" s="51">
        <v>0</v>
      </c>
      <c r="AC102" s="26">
        <f t="shared" si="7"/>
        <v>11</v>
      </c>
      <c r="AD102" s="25">
        <v>5</v>
      </c>
      <c r="AE102" s="93">
        <f t="shared" si="8"/>
        <v>52</v>
      </c>
      <c r="AF102" s="101">
        <f t="shared" si="9"/>
        <v>22.583333333333332</v>
      </c>
    </row>
    <row r="103" spans="2:32" ht="15.6" x14ac:dyDescent="0.3">
      <c r="B103" s="8">
        <v>89</v>
      </c>
      <c r="C103" s="48" t="s">
        <v>127</v>
      </c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2">
        <v>6</v>
      </c>
      <c r="T103" s="42">
        <v>6</v>
      </c>
      <c r="U103" s="42">
        <v>5</v>
      </c>
      <c r="V103" s="42">
        <v>5</v>
      </c>
      <c r="W103" s="42">
        <v>6</v>
      </c>
      <c r="X103" s="26">
        <f t="shared" si="6"/>
        <v>28</v>
      </c>
      <c r="Y103" s="26">
        <v>9</v>
      </c>
      <c r="Z103" s="51">
        <v>7</v>
      </c>
      <c r="AA103" s="51">
        <v>7</v>
      </c>
      <c r="AB103" s="51">
        <v>4</v>
      </c>
      <c r="AC103" s="26">
        <f t="shared" si="7"/>
        <v>18</v>
      </c>
      <c r="AD103" s="25">
        <v>5</v>
      </c>
      <c r="AE103" s="93">
        <f t="shared" si="8"/>
        <v>60</v>
      </c>
      <c r="AF103" s="101">
        <f t="shared" si="9"/>
        <v>23.333333333333336</v>
      </c>
    </row>
    <row r="104" spans="2:32" ht="15.6" x14ac:dyDescent="0.3">
      <c r="B104" s="8">
        <v>90</v>
      </c>
      <c r="C104" s="48" t="s">
        <v>128</v>
      </c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2">
        <v>4</v>
      </c>
      <c r="T104" s="42">
        <v>4</v>
      </c>
      <c r="U104" s="42">
        <v>5</v>
      </c>
      <c r="V104" s="42">
        <v>6</v>
      </c>
      <c r="W104" s="42">
        <v>6</v>
      </c>
      <c r="X104" s="26">
        <f t="shared" si="6"/>
        <v>25</v>
      </c>
      <c r="Y104" s="26">
        <v>15</v>
      </c>
      <c r="Z104" s="51">
        <v>7</v>
      </c>
      <c r="AA104" s="51">
        <v>3</v>
      </c>
      <c r="AB104" s="51">
        <v>4</v>
      </c>
      <c r="AC104" s="26">
        <f t="shared" si="7"/>
        <v>14</v>
      </c>
      <c r="AD104" s="25">
        <v>5</v>
      </c>
      <c r="AE104" s="93">
        <f t="shared" si="8"/>
        <v>59</v>
      </c>
      <c r="AF104" s="101">
        <f t="shared" si="9"/>
        <v>24.333333333333336</v>
      </c>
    </row>
    <row r="105" spans="2:32" ht="15.6" x14ac:dyDescent="0.3">
      <c r="B105" s="8">
        <v>91</v>
      </c>
      <c r="C105" s="48" t="s">
        <v>129</v>
      </c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2">
        <v>6</v>
      </c>
      <c r="T105" s="42">
        <v>4</v>
      </c>
      <c r="U105" s="42">
        <v>5</v>
      </c>
      <c r="V105" s="42">
        <v>0</v>
      </c>
      <c r="W105" s="42">
        <v>6</v>
      </c>
      <c r="X105" s="26">
        <f t="shared" si="6"/>
        <v>21</v>
      </c>
      <c r="Y105" s="26">
        <v>17</v>
      </c>
      <c r="Z105" s="51">
        <v>5</v>
      </c>
      <c r="AA105" s="51">
        <v>1</v>
      </c>
      <c r="AB105" s="51">
        <v>4</v>
      </c>
      <c r="AC105" s="26">
        <f t="shared" si="7"/>
        <v>10</v>
      </c>
      <c r="AD105" s="25">
        <v>5</v>
      </c>
      <c r="AE105" s="93">
        <f t="shared" si="8"/>
        <v>53</v>
      </c>
      <c r="AF105" s="101">
        <f t="shared" si="9"/>
        <v>23</v>
      </c>
    </row>
    <row r="106" spans="2:32" ht="15.6" x14ac:dyDescent="0.3">
      <c r="B106" s="8">
        <v>92</v>
      </c>
      <c r="C106" s="48" t="s">
        <v>130</v>
      </c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2">
        <v>5</v>
      </c>
      <c r="T106" s="42">
        <v>6</v>
      </c>
      <c r="U106" s="42">
        <v>5</v>
      </c>
      <c r="V106" s="42">
        <v>6</v>
      </c>
      <c r="W106" s="42">
        <v>5</v>
      </c>
      <c r="X106" s="26">
        <f t="shared" si="6"/>
        <v>27</v>
      </c>
      <c r="Y106" s="26">
        <v>16</v>
      </c>
      <c r="Z106" s="51">
        <v>8</v>
      </c>
      <c r="AA106" s="51">
        <v>7</v>
      </c>
      <c r="AB106" s="51">
        <v>4</v>
      </c>
      <c r="AC106" s="26">
        <f t="shared" si="7"/>
        <v>19</v>
      </c>
      <c r="AD106" s="25">
        <v>5</v>
      </c>
      <c r="AE106" s="93">
        <f t="shared" si="8"/>
        <v>67</v>
      </c>
      <c r="AF106" s="101">
        <f t="shared" si="9"/>
        <v>26.75</v>
      </c>
    </row>
    <row r="107" spans="2:32" ht="15.6" x14ac:dyDescent="0.3">
      <c r="B107" s="8">
        <v>93</v>
      </c>
      <c r="C107" s="48" t="s">
        <v>131</v>
      </c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2">
        <v>5</v>
      </c>
      <c r="T107" s="42">
        <v>6</v>
      </c>
      <c r="U107" s="42">
        <v>6</v>
      </c>
      <c r="V107" s="42">
        <v>6</v>
      </c>
      <c r="W107" s="42">
        <v>6</v>
      </c>
      <c r="X107" s="26">
        <f t="shared" si="6"/>
        <v>29</v>
      </c>
      <c r="Y107" s="26">
        <v>14</v>
      </c>
      <c r="Z107" s="51">
        <v>6</v>
      </c>
      <c r="AA107" s="51">
        <v>7</v>
      </c>
      <c r="AB107" s="51">
        <v>4</v>
      </c>
      <c r="AC107" s="26">
        <f t="shared" si="7"/>
        <v>17</v>
      </c>
      <c r="AD107" s="25">
        <v>5</v>
      </c>
      <c r="AE107" s="93">
        <f t="shared" si="8"/>
        <v>65</v>
      </c>
      <c r="AF107" s="101">
        <f t="shared" si="9"/>
        <v>25.916666666666664</v>
      </c>
    </row>
    <row r="108" spans="2:32" ht="15.6" x14ac:dyDescent="0.3">
      <c r="B108" s="8">
        <v>94</v>
      </c>
      <c r="C108" s="48" t="s">
        <v>132</v>
      </c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2">
        <v>5</v>
      </c>
      <c r="T108" s="42">
        <v>6</v>
      </c>
      <c r="U108" s="42">
        <v>3</v>
      </c>
      <c r="V108" s="42">
        <v>5</v>
      </c>
      <c r="W108" s="42">
        <v>2</v>
      </c>
      <c r="X108" s="26">
        <f t="shared" si="6"/>
        <v>21</v>
      </c>
      <c r="Y108" s="26">
        <v>15</v>
      </c>
      <c r="Z108" s="51">
        <v>6</v>
      </c>
      <c r="AA108" s="51">
        <v>5</v>
      </c>
      <c r="AB108" s="51">
        <v>4</v>
      </c>
      <c r="AC108" s="26">
        <f t="shared" si="7"/>
        <v>15</v>
      </c>
      <c r="AD108" s="25">
        <v>5</v>
      </c>
      <c r="AE108" s="93">
        <f t="shared" si="8"/>
        <v>56</v>
      </c>
      <c r="AF108" s="101">
        <f t="shared" si="9"/>
        <v>23.25</v>
      </c>
    </row>
    <row r="109" spans="2:32" ht="15.6" x14ac:dyDescent="0.3">
      <c r="B109" s="8">
        <v>95</v>
      </c>
      <c r="C109" s="48" t="s">
        <v>133</v>
      </c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2">
        <v>5</v>
      </c>
      <c r="T109" s="42">
        <v>6</v>
      </c>
      <c r="U109" s="42">
        <v>6</v>
      </c>
      <c r="V109" s="42">
        <v>6</v>
      </c>
      <c r="W109" s="42">
        <v>6</v>
      </c>
      <c r="X109" s="26">
        <f t="shared" si="6"/>
        <v>29</v>
      </c>
      <c r="Y109" s="26">
        <v>18</v>
      </c>
      <c r="Z109" s="51">
        <v>8</v>
      </c>
      <c r="AA109" s="51">
        <v>8</v>
      </c>
      <c r="AB109" s="51">
        <v>3</v>
      </c>
      <c r="AC109" s="26">
        <f t="shared" si="7"/>
        <v>19</v>
      </c>
      <c r="AD109" s="25">
        <v>5</v>
      </c>
      <c r="AE109" s="93">
        <f t="shared" si="8"/>
        <v>71</v>
      </c>
      <c r="AF109" s="101">
        <f t="shared" si="9"/>
        <v>28.416666666666664</v>
      </c>
    </row>
    <row r="110" spans="2:32" ht="15.6" x14ac:dyDescent="0.3">
      <c r="B110" s="8">
        <v>96</v>
      </c>
      <c r="C110" s="48" t="s">
        <v>134</v>
      </c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2">
        <v>4</v>
      </c>
      <c r="T110" s="42">
        <v>4</v>
      </c>
      <c r="U110" s="42">
        <v>3</v>
      </c>
      <c r="V110" s="42">
        <v>4</v>
      </c>
      <c r="W110" s="42">
        <v>6</v>
      </c>
      <c r="X110" s="26">
        <f t="shared" si="6"/>
        <v>21</v>
      </c>
      <c r="Y110" s="26">
        <v>5</v>
      </c>
      <c r="Z110" s="51">
        <v>6</v>
      </c>
      <c r="AA110" s="51">
        <v>5</v>
      </c>
      <c r="AB110" s="51">
        <v>4</v>
      </c>
      <c r="AC110" s="26">
        <f t="shared" si="7"/>
        <v>15</v>
      </c>
      <c r="AD110" s="25">
        <v>5</v>
      </c>
      <c r="AE110" s="93">
        <f t="shared" si="8"/>
        <v>46</v>
      </c>
      <c r="AF110" s="101">
        <f t="shared" si="9"/>
        <v>18.25</v>
      </c>
    </row>
    <row r="111" spans="2:32" ht="15.6" x14ac:dyDescent="0.3">
      <c r="B111" s="8">
        <v>97</v>
      </c>
      <c r="C111" s="48" t="s">
        <v>135</v>
      </c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2">
        <v>6</v>
      </c>
      <c r="T111" s="42">
        <v>5</v>
      </c>
      <c r="U111" s="42">
        <v>3</v>
      </c>
      <c r="V111" s="42">
        <v>6</v>
      </c>
      <c r="W111" s="42">
        <v>5</v>
      </c>
      <c r="X111" s="26">
        <f t="shared" si="6"/>
        <v>25</v>
      </c>
      <c r="Y111" s="26">
        <v>19</v>
      </c>
      <c r="Z111" s="51">
        <v>7</v>
      </c>
      <c r="AA111" s="51">
        <v>5</v>
      </c>
      <c r="AB111" s="51">
        <v>4</v>
      </c>
      <c r="AC111" s="26">
        <f t="shared" si="7"/>
        <v>16</v>
      </c>
      <c r="AD111" s="25">
        <v>5</v>
      </c>
      <c r="AE111" s="93">
        <f t="shared" si="8"/>
        <v>65</v>
      </c>
      <c r="AF111" s="101">
        <f t="shared" si="9"/>
        <v>26.833333333333336</v>
      </c>
    </row>
    <row r="112" spans="2:32" ht="15.6" x14ac:dyDescent="0.3">
      <c r="B112" s="8">
        <v>98</v>
      </c>
      <c r="C112" s="48" t="s">
        <v>136</v>
      </c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2">
        <v>4</v>
      </c>
      <c r="T112" s="42">
        <v>4</v>
      </c>
      <c r="U112" s="42">
        <v>5</v>
      </c>
      <c r="V112" s="42">
        <v>3</v>
      </c>
      <c r="W112" s="42">
        <v>5</v>
      </c>
      <c r="X112" s="26">
        <f t="shared" si="6"/>
        <v>21</v>
      </c>
      <c r="Y112" s="26">
        <v>17</v>
      </c>
      <c r="Z112" s="51">
        <v>6</v>
      </c>
      <c r="AA112" s="51">
        <v>5</v>
      </c>
      <c r="AB112" s="51">
        <v>4</v>
      </c>
      <c r="AC112" s="26">
        <f t="shared" si="7"/>
        <v>15</v>
      </c>
      <c r="AD112" s="25">
        <v>5</v>
      </c>
      <c r="AE112" s="93">
        <f t="shared" si="8"/>
        <v>58</v>
      </c>
      <c r="AF112" s="101">
        <f t="shared" si="9"/>
        <v>24.25</v>
      </c>
    </row>
    <row r="113" spans="2:32" ht="15.6" x14ac:dyDescent="0.3">
      <c r="B113" s="8">
        <v>99</v>
      </c>
      <c r="C113" s="48" t="s">
        <v>137</v>
      </c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2">
        <v>3</v>
      </c>
      <c r="T113" s="42">
        <v>2</v>
      </c>
      <c r="U113" s="42">
        <v>4</v>
      </c>
      <c r="V113" s="42">
        <v>3</v>
      </c>
      <c r="W113" s="42">
        <v>3</v>
      </c>
      <c r="X113" s="26">
        <f t="shared" si="6"/>
        <v>15</v>
      </c>
      <c r="Y113" s="26">
        <v>17</v>
      </c>
      <c r="Z113" s="51">
        <v>2</v>
      </c>
      <c r="AA113" s="51">
        <v>2</v>
      </c>
      <c r="AB113" s="51">
        <v>3</v>
      </c>
      <c r="AC113" s="26">
        <f t="shared" si="7"/>
        <v>7</v>
      </c>
      <c r="AD113" s="25">
        <v>5</v>
      </c>
      <c r="AE113" s="93">
        <f t="shared" si="8"/>
        <v>44</v>
      </c>
      <c r="AF113" s="101">
        <f t="shared" si="9"/>
        <v>20.25</v>
      </c>
    </row>
    <row r="114" spans="2:32" ht="15.6" x14ac:dyDescent="0.3">
      <c r="B114" s="8">
        <v>100</v>
      </c>
      <c r="C114" s="48" t="s">
        <v>138</v>
      </c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2">
        <v>4</v>
      </c>
      <c r="T114" s="42">
        <v>2</v>
      </c>
      <c r="U114" s="42">
        <v>3</v>
      </c>
      <c r="V114" s="42">
        <v>3</v>
      </c>
      <c r="W114" s="42">
        <v>5</v>
      </c>
      <c r="X114" s="26">
        <f t="shared" si="6"/>
        <v>17</v>
      </c>
      <c r="Y114" s="26">
        <v>16</v>
      </c>
      <c r="Z114" s="51">
        <v>6</v>
      </c>
      <c r="AA114" s="51">
        <v>5</v>
      </c>
      <c r="AB114" s="51">
        <v>3</v>
      </c>
      <c r="AC114" s="26">
        <f t="shared" si="7"/>
        <v>14</v>
      </c>
      <c r="AD114" s="25">
        <v>5</v>
      </c>
      <c r="AE114" s="93">
        <f t="shared" si="8"/>
        <v>52</v>
      </c>
      <c r="AF114" s="101">
        <f t="shared" si="9"/>
        <v>22.166666666666668</v>
      </c>
    </row>
    <row r="115" spans="2:32" ht="15.6" x14ac:dyDescent="0.3">
      <c r="B115" s="8">
        <v>101</v>
      </c>
      <c r="C115" s="48" t="s">
        <v>139</v>
      </c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2">
        <v>5</v>
      </c>
      <c r="T115" s="42">
        <v>5</v>
      </c>
      <c r="U115" s="42">
        <v>4</v>
      </c>
      <c r="V115" s="42">
        <v>3</v>
      </c>
      <c r="W115" s="42">
        <v>4</v>
      </c>
      <c r="X115" s="26">
        <f t="shared" si="6"/>
        <v>21</v>
      </c>
      <c r="Y115" s="26">
        <v>19</v>
      </c>
      <c r="Z115" s="51">
        <v>7</v>
      </c>
      <c r="AA115" s="51">
        <v>5</v>
      </c>
      <c r="AB115" s="51">
        <v>2</v>
      </c>
      <c r="AC115" s="26">
        <f t="shared" si="7"/>
        <v>14</v>
      </c>
      <c r="AD115" s="25">
        <v>5</v>
      </c>
      <c r="AE115" s="93">
        <f t="shared" si="8"/>
        <v>59</v>
      </c>
      <c r="AF115" s="101">
        <f t="shared" si="9"/>
        <v>25</v>
      </c>
    </row>
    <row r="116" spans="2:32" ht="15.6" x14ac:dyDescent="0.3">
      <c r="B116" s="8">
        <v>102</v>
      </c>
      <c r="C116" s="48" t="s">
        <v>140</v>
      </c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2">
        <v>3</v>
      </c>
      <c r="T116" s="42">
        <v>3</v>
      </c>
      <c r="U116" s="42">
        <v>2</v>
      </c>
      <c r="V116" s="42">
        <v>0</v>
      </c>
      <c r="W116" s="42">
        <v>3</v>
      </c>
      <c r="X116" s="26">
        <f t="shared" si="6"/>
        <v>11</v>
      </c>
      <c r="Y116" s="26">
        <v>15</v>
      </c>
      <c r="Z116" s="51">
        <v>5</v>
      </c>
      <c r="AA116" s="51">
        <v>3</v>
      </c>
      <c r="AB116" s="51">
        <v>2</v>
      </c>
      <c r="AC116" s="26">
        <f t="shared" si="7"/>
        <v>10</v>
      </c>
      <c r="AD116" s="25">
        <v>5</v>
      </c>
      <c r="AE116" s="93">
        <f t="shared" si="8"/>
        <v>41</v>
      </c>
      <c r="AF116" s="101">
        <f t="shared" si="9"/>
        <v>18.666666666666664</v>
      </c>
    </row>
    <row r="117" spans="2:32" ht="15.6" x14ac:dyDescent="0.3">
      <c r="B117" s="8">
        <v>103</v>
      </c>
      <c r="C117" s="48" t="s">
        <v>141</v>
      </c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2">
        <v>5</v>
      </c>
      <c r="T117" s="42">
        <v>6</v>
      </c>
      <c r="U117" s="42">
        <v>4</v>
      </c>
      <c r="V117" s="42">
        <v>6</v>
      </c>
      <c r="W117" s="42">
        <v>6</v>
      </c>
      <c r="X117" s="26">
        <f t="shared" si="6"/>
        <v>27</v>
      </c>
      <c r="Y117" s="26">
        <v>17</v>
      </c>
      <c r="Z117" s="51">
        <v>7</v>
      </c>
      <c r="AA117" s="51">
        <v>5</v>
      </c>
      <c r="AB117" s="51">
        <v>4</v>
      </c>
      <c r="AC117" s="26">
        <f t="shared" si="7"/>
        <v>16</v>
      </c>
      <c r="AD117" s="25">
        <v>5</v>
      </c>
      <c r="AE117" s="93">
        <f t="shared" si="8"/>
        <v>65</v>
      </c>
      <c r="AF117" s="101">
        <f t="shared" si="9"/>
        <v>26.5</v>
      </c>
    </row>
    <row r="118" spans="2:32" ht="15.6" x14ac:dyDescent="0.3">
      <c r="B118" s="8">
        <v>104</v>
      </c>
      <c r="C118" s="48" t="s">
        <v>142</v>
      </c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2">
        <v>6</v>
      </c>
      <c r="T118" s="42">
        <v>6</v>
      </c>
      <c r="U118" s="42">
        <v>5</v>
      </c>
      <c r="V118" s="42">
        <v>6</v>
      </c>
      <c r="W118" s="42">
        <v>3</v>
      </c>
      <c r="X118" s="26">
        <f t="shared" si="6"/>
        <v>26</v>
      </c>
      <c r="Y118" s="26">
        <v>16</v>
      </c>
      <c r="Z118" s="51">
        <v>6</v>
      </c>
      <c r="AA118" s="51">
        <v>6</v>
      </c>
      <c r="AB118" s="51">
        <v>4</v>
      </c>
      <c r="AC118" s="26">
        <f t="shared" si="7"/>
        <v>16</v>
      </c>
      <c r="AD118" s="25">
        <v>5</v>
      </c>
      <c r="AE118" s="93">
        <f t="shared" si="8"/>
        <v>63</v>
      </c>
      <c r="AF118" s="101">
        <f t="shared" si="9"/>
        <v>25.666666666666664</v>
      </c>
    </row>
    <row r="119" spans="2:32" ht="15.6" x14ac:dyDescent="0.3">
      <c r="B119" s="8">
        <v>105</v>
      </c>
      <c r="C119" s="48" t="s">
        <v>143</v>
      </c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2">
        <v>5</v>
      </c>
      <c r="T119" s="42">
        <v>5</v>
      </c>
      <c r="U119" s="42">
        <v>5</v>
      </c>
      <c r="V119" s="42">
        <v>6</v>
      </c>
      <c r="W119" s="42">
        <v>6</v>
      </c>
      <c r="X119" s="26">
        <f t="shared" si="6"/>
        <v>27</v>
      </c>
      <c r="Y119" s="26">
        <v>16</v>
      </c>
      <c r="Z119" s="51">
        <v>8</v>
      </c>
      <c r="AA119" s="51">
        <v>6</v>
      </c>
      <c r="AB119" s="51">
        <v>2</v>
      </c>
      <c r="AC119" s="26">
        <f t="shared" si="7"/>
        <v>16</v>
      </c>
      <c r="AD119" s="25">
        <v>5</v>
      </c>
      <c r="AE119" s="93">
        <f t="shared" si="8"/>
        <v>64</v>
      </c>
      <c r="AF119" s="101">
        <f t="shared" si="9"/>
        <v>26</v>
      </c>
    </row>
    <row r="120" spans="2:32" ht="15.6" x14ac:dyDescent="0.3">
      <c r="B120" s="8">
        <v>106</v>
      </c>
      <c r="C120" s="48" t="s">
        <v>144</v>
      </c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2">
        <v>4</v>
      </c>
      <c r="T120" s="42">
        <v>6</v>
      </c>
      <c r="U120" s="42">
        <v>5</v>
      </c>
      <c r="V120" s="42">
        <v>6</v>
      </c>
      <c r="W120" s="42">
        <v>5</v>
      </c>
      <c r="X120" s="26">
        <f t="shared" si="6"/>
        <v>26</v>
      </c>
      <c r="Y120" s="26">
        <v>18</v>
      </c>
      <c r="Z120" s="51">
        <v>8</v>
      </c>
      <c r="AA120" s="51">
        <v>6</v>
      </c>
      <c r="AB120" s="51">
        <v>4</v>
      </c>
      <c r="AC120" s="26">
        <f t="shared" si="7"/>
        <v>18</v>
      </c>
      <c r="AD120" s="25">
        <v>5</v>
      </c>
      <c r="AE120" s="93">
        <f t="shared" si="8"/>
        <v>67</v>
      </c>
      <c r="AF120" s="101">
        <f t="shared" si="9"/>
        <v>27.166666666666664</v>
      </c>
    </row>
    <row r="121" spans="2:32" ht="15.6" x14ac:dyDescent="0.3">
      <c r="B121" s="8">
        <v>107</v>
      </c>
      <c r="C121" s="48" t="s">
        <v>145</v>
      </c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2">
        <v>6</v>
      </c>
      <c r="T121" s="42">
        <v>6</v>
      </c>
      <c r="U121" s="42">
        <v>5</v>
      </c>
      <c r="V121" s="42">
        <v>5</v>
      </c>
      <c r="W121" s="42">
        <v>6</v>
      </c>
      <c r="X121" s="26">
        <f t="shared" si="6"/>
        <v>28</v>
      </c>
      <c r="Y121" s="26">
        <v>20</v>
      </c>
      <c r="Z121" s="51">
        <v>8</v>
      </c>
      <c r="AA121" s="51">
        <v>8</v>
      </c>
      <c r="AB121" s="51">
        <v>3</v>
      </c>
      <c r="AC121" s="26">
        <f t="shared" si="7"/>
        <v>19</v>
      </c>
      <c r="AD121" s="25">
        <v>5</v>
      </c>
      <c r="AE121" s="93">
        <f t="shared" si="8"/>
        <v>72</v>
      </c>
      <c r="AF121" s="101">
        <f t="shared" si="9"/>
        <v>29.083333333333336</v>
      </c>
    </row>
    <row r="122" spans="2:32" ht="15.6" x14ac:dyDescent="0.3">
      <c r="B122" s="8">
        <v>108</v>
      </c>
      <c r="C122" s="48" t="s">
        <v>146</v>
      </c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2">
        <v>6</v>
      </c>
      <c r="T122" s="42">
        <v>6</v>
      </c>
      <c r="U122" s="42">
        <v>5</v>
      </c>
      <c r="V122" s="42">
        <v>5</v>
      </c>
      <c r="W122" s="42">
        <v>5</v>
      </c>
      <c r="X122" s="26">
        <f t="shared" si="6"/>
        <v>27</v>
      </c>
      <c r="Y122" s="26">
        <v>17</v>
      </c>
      <c r="Z122" s="51">
        <v>8</v>
      </c>
      <c r="AA122" s="51">
        <v>6</v>
      </c>
      <c r="AB122" s="51">
        <v>4</v>
      </c>
      <c r="AC122" s="26">
        <f t="shared" si="7"/>
        <v>18</v>
      </c>
      <c r="AD122" s="25">
        <v>5</v>
      </c>
      <c r="AE122" s="93">
        <f t="shared" si="8"/>
        <v>67</v>
      </c>
      <c r="AF122" s="101">
        <f t="shared" si="9"/>
        <v>27</v>
      </c>
    </row>
    <row r="123" spans="2:32" ht="15.6" x14ac:dyDescent="0.3">
      <c r="B123" s="8">
        <v>109</v>
      </c>
      <c r="C123" s="48" t="s">
        <v>147</v>
      </c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2">
        <v>5</v>
      </c>
      <c r="T123" s="42">
        <v>6</v>
      </c>
      <c r="U123" s="42">
        <v>5</v>
      </c>
      <c r="V123" s="42">
        <v>5</v>
      </c>
      <c r="W123" s="42">
        <v>6</v>
      </c>
      <c r="X123" s="26">
        <f t="shared" si="6"/>
        <v>27</v>
      </c>
      <c r="Y123" s="26">
        <v>18</v>
      </c>
      <c r="Z123" s="51">
        <v>7</v>
      </c>
      <c r="AA123" s="51">
        <v>7</v>
      </c>
      <c r="AB123" s="51">
        <v>4</v>
      </c>
      <c r="AC123" s="26">
        <f t="shared" si="7"/>
        <v>18</v>
      </c>
      <c r="AD123" s="25">
        <v>5</v>
      </c>
      <c r="AE123" s="93">
        <f t="shared" si="8"/>
        <v>68</v>
      </c>
      <c r="AF123" s="101">
        <f t="shared" si="9"/>
        <v>27.5</v>
      </c>
    </row>
    <row r="124" spans="2:32" ht="15.6" x14ac:dyDescent="0.3">
      <c r="B124" s="8">
        <v>110</v>
      </c>
      <c r="C124" s="48" t="s">
        <v>148</v>
      </c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2">
        <v>5</v>
      </c>
      <c r="T124" s="42">
        <v>3</v>
      </c>
      <c r="U124" s="42">
        <v>2</v>
      </c>
      <c r="V124" s="42">
        <v>4</v>
      </c>
      <c r="W124" s="42">
        <v>3</v>
      </c>
      <c r="X124" s="26">
        <f t="shared" si="6"/>
        <v>17</v>
      </c>
      <c r="Y124" s="26">
        <v>14</v>
      </c>
      <c r="Z124" s="51">
        <v>5</v>
      </c>
      <c r="AA124" s="51">
        <v>6</v>
      </c>
      <c r="AB124" s="51">
        <v>3</v>
      </c>
      <c r="AC124" s="26">
        <f t="shared" si="7"/>
        <v>14</v>
      </c>
      <c r="AD124" s="25">
        <v>5</v>
      </c>
      <c r="AE124" s="93">
        <f t="shared" si="8"/>
        <v>50</v>
      </c>
      <c r="AF124" s="101">
        <f t="shared" si="9"/>
        <v>21.166666666666668</v>
      </c>
    </row>
    <row r="125" spans="2:32" ht="15.6" x14ac:dyDescent="0.3">
      <c r="B125" s="8">
        <v>111</v>
      </c>
      <c r="C125" s="48" t="s">
        <v>149</v>
      </c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2">
        <v>5</v>
      </c>
      <c r="T125" s="42">
        <v>6</v>
      </c>
      <c r="U125" s="42">
        <v>4</v>
      </c>
      <c r="V125" s="42">
        <v>4</v>
      </c>
      <c r="W125" s="42">
        <v>4</v>
      </c>
      <c r="X125" s="26">
        <f t="shared" si="6"/>
        <v>23</v>
      </c>
      <c r="Y125" s="26">
        <v>17</v>
      </c>
      <c r="Z125" s="51">
        <v>8</v>
      </c>
      <c r="AA125" s="51">
        <v>6</v>
      </c>
      <c r="AB125" s="51">
        <v>2</v>
      </c>
      <c r="AC125" s="26">
        <f t="shared" si="7"/>
        <v>16</v>
      </c>
      <c r="AD125" s="25">
        <v>5</v>
      </c>
      <c r="AE125" s="93">
        <f t="shared" si="8"/>
        <v>61</v>
      </c>
      <c r="AF125" s="101">
        <f t="shared" si="9"/>
        <v>25.166666666666668</v>
      </c>
    </row>
    <row r="126" spans="2:32" ht="15.6" x14ac:dyDescent="0.3">
      <c r="B126" s="8">
        <v>112</v>
      </c>
      <c r="C126" s="48" t="s">
        <v>150</v>
      </c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2">
        <v>6</v>
      </c>
      <c r="T126" s="42">
        <v>6</v>
      </c>
      <c r="U126" s="42">
        <v>5</v>
      </c>
      <c r="V126" s="42">
        <v>6</v>
      </c>
      <c r="W126" s="42">
        <v>6</v>
      </c>
      <c r="X126" s="26">
        <f t="shared" si="6"/>
        <v>29</v>
      </c>
      <c r="Y126" s="26">
        <v>17</v>
      </c>
      <c r="Z126" s="51">
        <v>7</v>
      </c>
      <c r="AA126" s="51">
        <v>5</v>
      </c>
      <c r="AB126" s="51">
        <v>4</v>
      </c>
      <c r="AC126" s="26">
        <f t="shared" si="7"/>
        <v>16</v>
      </c>
      <c r="AD126" s="25">
        <v>5</v>
      </c>
      <c r="AE126" s="93">
        <f t="shared" si="8"/>
        <v>67</v>
      </c>
      <c r="AF126" s="101">
        <f t="shared" si="9"/>
        <v>27.166666666666664</v>
      </c>
    </row>
    <row r="127" spans="2:32" ht="15.6" x14ac:dyDescent="0.3">
      <c r="B127" s="8">
        <v>113</v>
      </c>
      <c r="C127" s="48" t="s">
        <v>151</v>
      </c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2">
        <v>6</v>
      </c>
      <c r="T127" s="42">
        <v>6</v>
      </c>
      <c r="U127" s="42">
        <v>5</v>
      </c>
      <c r="V127" s="42">
        <v>6</v>
      </c>
      <c r="W127" s="42">
        <v>6</v>
      </c>
      <c r="X127" s="26">
        <f t="shared" si="6"/>
        <v>29</v>
      </c>
      <c r="Y127" s="26">
        <v>16</v>
      </c>
      <c r="Z127" s="51">
        <v>7</v>
      </c>
      <c r="AA127" s="51">
        <v>7</v>
      </c>
      <c r="AB127" s="51">
        <v>4</v>
      </c>
      <c r="AC127" s="26">
        <f t="shared" si="7"/>
        <v>18</v>
      </c>
      <c r="AD127" s="25">
        <v>5</v>
      </c>
      <c r="AE127" s="93">
        <f t="shared" si="8"/>
        <v>68</v>
      </c>
      <c r="AF127" s="101">
        <f t="shared" si="9"/>
        <v>27.166666666666664</v>
      </c>
    </row>
    <row r="128" spans="2:32" ht="15.6" x14ac:dyDescent="0.3">
      <c r="B128" s="8">
        <v>114</v>
      </c>
      <c r="C128" s="48" t="s">
        <v>152</v>
      </c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2">
        <v>5</v>
      </c>
      <c r="T128" s="42">
        <v>5</v>
      </c>
      <c r="U128" s="42">
        <v>5</v>
      </c>
      <c r="V128" s="42">
        <v>5</v>
      </c>
      <c r="W128" s="42">
        <v>4</v>
      </c>
      <c r="X128" s="26">
        <f t="shared" si="6"/>
        <v>24</v>
      </c>
      <c r="Y128" s="26">
        <v>18</v>
      </c>
      <c r="Z128" s="51">
        <v>5</v>
      </c>
      <c r="AA128" s="51">
        <v>3</v>
      </c>
      <c r="AB128" s="51">
        <v>1</v>
      </c>
      <c r="AC128" s="26">
        <f t="shared" si="7"/>
        <v>9</v>
      </c>
      <c r="AD128" s="25">
        <v>5</v>
      </c>
      <c r="AE128" s="93">
        <f t="shared" si="8"/>
        <v>56</v>
      </c>
      <c r="AF128" s="101">
        <f t="shared" si="9"/>
        <v>24.25</v>
      </c>
    </row>
    <row r="129" spans="2:32" ht="15.6" x14ac:dyDescent="0.3">
      <c r="B129" s="8">
        <v>115</v>
      </c>
      <c r="C129" s="48" t="s">
        <v>153</v>
      </c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2">
        <v>5</v>
      </c>
      <c r="T129" s="42">
        <v>6</v>
      </c>
      <c r="U129" s="42">
        <v>3</v>
      </c>
      <c r="V129" s="42">
        <v>6</v>
      </c>
      <c r="W129" s="42">
        <v>3</v>
      </c>
      <c r="X129" s="26">
        <f t="shared" si="6"/>
        <v>23</v>
      </c>
      <c r="Y129" s="26">
        <v>17</v>
      </c>
      <c r="Z129" s="51">
        <v>7</v>
      </c>
      <c r="AA129" s="51">
        <v>5</v>
      </c>
      <c r="AB129" s="51">
        <v>1</v>
      </c>
      <c r="AC129" s="26">
        <f t="shared" si="7"/>
        <v>13</v>
      </c>
      <c r="AD129" s="25">
        <v>5</v>
      </c>
      <c r="AE129" s="93">
        <f t="shared" si="8"/>
        <v>58</v>
      </c>
      <c r="AF129" s="101">
        <f t="shared" si="9"/>
        <v>24.416666666666668</v>
      </c>
    </row>
    <row r="130" spans="2:32" ht="15.6" x14ac:dyDescent="0.3">
      <c r="B130" s="8">
        <v>116</v>
      </c>
      <c r="C130" s="48" t="s">
        <v>154</v>
      </c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2">
        <v>5</v>
      </c>
      <c r="T130" s="42">
        <v>6</v>
      </c>
      <c r="U130" s="42">
        <v>5</v>
      </c>
      <c r="V130" s="42">
        <v>5</v>
      </c>
      <c r="W130" s="42">
        <v>3</v>
      </c>
      <c r="X130" s="26">
        <f t="shared" si="6"/>
        <v>24</v>
      </c>
      <c r="Y130" s="26">
        <v>4</v>
      </c>
      <c r="Z130" s="51">
        <v>5</v>
      </c>
      <c r="AA130" s="51">
        <v>1</v>
      </c>
      <c r="AB130" s="51">
        <v>4</v>
      </c>
      <c r="AC130" s="26">
        <f t="shared" si="7"/>
        <v>10</v>
      </c>
      <c r="AD130" s="25">
        <v>5</v>
      </c>
      <c r="AE130" s="93">
        <f t="shared" si="8"/>
        <v>43</v>
      </c>
      <c r="AF130" s="101">
        <f t="shared" si="9"/>
        <v>17.5</v>
      </c>
    </row>
    <row r="131" spans="2:32" ht="15.6" x14ac:dyDescent="0.3">
      <c r="B131" s="8">
        <v>117</v>
      </c>
      <c r="C131" s="48" t="s">
        <v>155</v>
      </c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2">
        <v>4</v>
      </c>
      <c r="T131" s="42">
        <v>4</v>
      </c>
      <c r="U131" s="42">
        <v>5</v>
      </c>
      <c r="V131" s="42">
        <v>5</v>
      </c>
      <c r="W131" s="42">
        <v>6</v>
      </c>
      <c r="X131" s="26">
        <f t="shared" si="6"/>
        <v>24</v>
      </c>
      <c r="Y131" s="26">
        <v>16</v>
      </c>
      <c r="Z131" s="51">
        <v>6</v>
      </c>
      <c r="AA131" s="51">
        <v>6</v>
      </c>
      <c r="AB131" s="51">
        <v>1</v>
      </c>
      <c r="AC131" s="26">
        <f t="shared" si="7"/>
        <v>13</v>
      </c>
      <c r="AD131" s="25">
        <v>5</v>
      </c>
      <c r="AE131" s="93">
        <f t="shared" si="8"/>
        <v>58</v>
      </c>
      <c r="AF131" s="101">
        <f t="shared" si="9"/>
        <v>24.25</v>
      </c>
    </row>
    <row r="132" spans="2:32" ht="15.6" x14ac:dyDescent="0.3">
      <c r="B132" s="8">
        <v>118</v>
      </c>
      <c r="C132" s="48" t="s">
        <v>156</v>
      </c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2">
        <v>3</v>
      </c>
      <c r="T132" s="42">
        <v>3</v>
      </c>
      <c r="U132" s="42">
        <v>4</v>
      </c>
      <c r="V132" s="42">
        <v>4</v>
      </c>
      <c r="W132" s="42">
        <v>6</v>
      </c>
      <c r="X132" s="26">
        <f t="shared" si="6"/>
        <v>20</v>
      </c>
      <c r="Y132" s="26">
        <v>16</v>
      </c>
      <c r="Z132" s="51">
        <v>7</v>
      </c>
      <c r="AA132" s="51">
        <v>5</v>
      </c>
      <c r="AB132" s="51">
        <v>4</v>
      </c>
      <c r="AC132" s="26">
        <f t="shared" si="7"/>
        <v>16</v>
      </c>
      <c r="AD132" s="25">
        <v>5</v>
      </c>
      <c r="AE132" s="93">
        <f t="shared" si="8"/>
        <v>57</v>
      </c>
      <c r="AF132" s="101">
        <f t="shared" si="9"/>
        <v>23.666666666666668</v>
      </c>
    </row>
    <row r="133" spans="2:32" ht="15.6" x14ac:dyDescent="0.3">
      <c r="B133" s="8">
        <v>119</v>
      </c>
      <c r="C133" s="48" t="s">
        <v>157</v>
      </c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2">
        <v>5</v>
      </c>
      <c r="T133" s="42">
        <v>5</v>
      </c>
      <c r="U133" s="42">
        <v>4</v>
      </c>
      <c r="V133" s="42">
        <v>5</v>
      </c>
      <c r="W133" s="42">
        <v>4</v>
      </c>
      <c r="X133" s="26">
        <f t="shared" si="6"/>
        <v>23</v>
      </c>
      <c r="Y133" s="26">
        <v>18</v>
      </c>
      <c r="Z133" s="51">
        <v>5</v>
      </c>
      <c r="AA133" s="51">
        <v>5</v>
      </c>
      <c r="AB133" s="51">
        <v>4</v>
      </c>
      <c r="AC133" s="26">
        <f t="shared" si="7"/>
        <v>14</v>
      </c>
      <c r="AD133" s="25">
        <v>5</v>
      </c>
      <c r="AE133" s="93">
        <f t="shared" si="8"/>
        <v>60</v>
      </c>
      <c r="AF133" s="101">
        <f t="shared" si="9"/>
        <v>25.166666666666668</v>
      </c>
    </row>
    <row r="134" spans="2:32" ht="15.6" x14ac:dyDescent="0.3">
      <c r="B134" s="8">
        <v>120</v>
      </c>
      <c r="C134" s="48" t="s">
        <v>158</v>
      </c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2">
        <v>4</v>
      </c>
      <c r="T134" s="42">
        <v>5</v>
      </c>
      <c r="U134" s="42">
        <v>4</v>
      </c>
      <c r="V134" s="42">
        <v>4</v>
      </c>
      <c r="W134" s="42">
        <v>5</v>
      </c>
      <c r="X134" s="26">
        <f t="shared" si="6"/>
        <v>22</v>
      </c>
      <c r="Y134" s="26">
        <v>4</v>
      </c>
      <c r="Z134" s="51">
        <v>8</v>
      </c>
      <c r="AA134" s="51">
        <v>1</v>
      </c>
      <c r="AB134" s="51">
        <v>3</v>
      </c>
      <c r="AC134" s="26">
        <f t="shared" si="7"/>
        <v>12</v>
      </c>
      <c r="AD134" s="25">
        <v>5</v>
      </c>
      <c r="AE134" s="93">
        <f t="shared" si="8"/>
        <v>43</v>
      </c>
      <c r="AF134" s="101">
        <f t="shared" si="9"/>
        <v>17.333333333333332</v>
      </c>
    </row>
    <row r="135" spans="2:32" ht="15.6" x14ac:dyDescent="0.3">
      <c r="B135" s="8">
        <v>121</v>
      </c>
      <c r="C135" s="48" t="s">
        <v>159</v>
      </c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2">
        <v>4</v>
      </c>
      <c r="T135" s="42">
        <v>5</v>
      </c>
      <c r="U135" s="42">
        <v>5</v>
      </c>
      <c r="V135" s="42">
        <v>5</v>
      </c>
      <c r="W135" s="42">
        <v>3</v>
      </c>
      <c r="X135" s="26">
        <f t="shared" si="6"/>
        <v>22</v>
      </c>
      <c r="Y135" s="26">
        <v>18</v>
      </c>
      <c r="Z135" s="51">
        <v>6</v>
      </c>
      <c r="AA135" s="51">
        <v>4</v>
      </c>
      <c r="AB135" s="51">
        <v>4</v>
      </c>
      <c r="AC135" s="26">
        <f t="shared" si="7"/>
        <v>14</v>
      </c>
      <c r="AD135" s="25">
        <v>5</v>
      </c>
      <c r="AE135" s="93">
        <f t="shared" si="8"/>
        <v>59</v>
      </c>
      <c r="AF135" s="101">
        <f t="shared" si="9"/>
        <v>24.833333333333332</v>
      </c>
    </row>
    <row r="136" spans="2:32" ht="15.6" x14ac:dyDescent="0.3">
      <c r="B136" s="8">
        <v>122</v>
      </c>
      <c r="C136" s="48" t="s">
        <v>160</v>
      </c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2">
        <v>5</v>
      </c>
      <c r="T136" s="42">
        <v>5</v>
      </c>
      <c r="U136" s="42">
        <v>4</v>
      </c>
      <c r="V136" s="42">
        <v>5</v>
      </c>
      <c r="W136" s="42">
        <v>3</v>
      </c>
      <c r="X136" s="26">
        <f t="shared" si="6"/>
        <v>22</v>
      </c>
      <c r="Y136" s="26">
        <v>13</v>
      </c>
      <c r="Z136" s="51">
        <v>6</v>
      </c>
      <c r="AA136" s="51">
        <v>4</v>
      </c>
      <c r="AB136" s="51">
        <v>2</v>
      </c>
      <c r="AC136" s="26">
        <f t="shared" si="7"/>
        <v>12</v>
      </c>
      <c r="AD136" s="25">
        <v>5</v>
      </c>
      <c r="AE136" s="93">
        <f t="shared" si="8"/>
        <v>52</v>
      </c>
      <c r="AF136" s="101">
        <f t="shared" si="9"/>
        <v>21.833333333333332</v>
      </c>
    </row>
    <row r="137" spans="2:32" ht="15.6" x14ac:dyDescent="0.3">
      <c r="B137" s="8">
        <v>123</v>
      </c>
      <c r="C137" s="48" t="s">
        <v>161</v>
      </c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2">
        <v>6</v>
      </c>
      <c r="T137" s="42">
        <v>6</v>
      </c>
      <c r="U137" s="42">
        <v>4</v>
      </c>
      <c r="V137" s="42">
        <v>5</v>
      </c>
      <c r="W137" s="42">
        <v>6</v>
      </c>
      <c r="X137" s="26">
        <f t="shared" si="6"/>
        <v>27</v>
      </c>
      <c r="Y137" s="26">
        <v>16</v>
      </c>
      <c r="Z137" s="51">
        <v>8</v>
      </c>
      <c r="AA137" s="51">
        <v>4</v>
      </c>
      <c r="AB137" s="51">
        <v>4</v>
      </c>
      <c r="AC137" s="26">
        <f t="shared" si="7"/>
        <v>16</v>
      </c>
      <c r="AD137" s="25">
        <v>5</v>
      </c>
      <c r="AE137" s="93">
        <f t="shared" si="8"/>
        <v>64</v>
      </c>
      <c r="AF137" s="101">
        <f t="shared" si="9"/>
        <v>26</v>
      </c>
    </row>
    <row r="138" spans="2:32" ht="15.6" x14ac:dyDescent="0.3">
      <c r="B138" s="8">
        <v>124</v>
      </c>
      <c r="C138" s="48" t="s">
        <v>162</v>
      </c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2">
        <v>6</v>
      </c>
      <c r="T138" s="42">
        <v>4</v>
      </c>
      <c r="U138" s="42">
        <v>5</v>
      </c>
      <c r="V138" s="42">
        <v>6</v>
      </c>
      <c r="W138" s="42">
        <v>6</v>
      </c>
      <c r="X138" s="26">
        <f t="shared" si="6"/>
        <v>27</v>
      </c>
      <c r="Y138" s="26">
        <v>4</v>
      </c>
      <c r="Z138" s="51">
        <v>7</v>
      </c>
      <c r="AA138" s="51">
        <v>4</v>
      </c>
      <c r="AB138" s="51">
        <v>4</v>
      </c>
      <c r="AC138" s="26">
        <f t="shared" si="7"/>
        <v>15</v>
      </c>
      <c r="AD138" s="25">
        <v>5</v>
      </c>
      <c r="AE138" s="93">
        <f t="shared" si="8"/>
        <v>51</v>
      </c>
      <c r="AF138" s="101">
        <f t="shared" si="9"/>
        <v>19.75</v>
      </c>
    </row>
    <row r="139" spans="2:32" ht="15.6" x14ac:dyDescent="0.3">
      <c r="B139" s="8">
        <v>125</v>
      </c>
      <c r="C139" s="48" t="s">
        <v>163</v>
      </c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2">
        <v>4</v>
      </c>
      <c r="T139" s="42">
        <v>6</v>
      </c>
      <c r="U139" s="42">
        <v>4</v>
      </c>
      <c r="V139" s="42">
        <v>0</v>
      </c>
      <c r="W139" s="42">
        <v>3</v>
      </c>
      <c r="X139" s="26">
        <f t="shared" si="6"/>
        <v>17</v>
      </c>
      <c r="Y139" s="26">
        <v>19</v>
      </c>
      <c r="Z139" s="51">
        <v>7</v>
      </c>
      <c r="AA139" s="51">
        <v>4</v>
      </c>
      <c r="AB139" s="51">
        <v>4</v>
      </c>
      <c r="AC139" s="26">
        <f t="shared" si="7"/>
        <v>15</v>
      </c>
      <c r="AD139" s="25">
        <v>5</v>
      </c>
      <c r="AE139" s="93">
        <f t="shared" si="8"/>
        <v>56</v>
      </c>
      <c r="AF139" s="101">
        <f t="shared" si="9"/>
        <v>23.916666666666668</v>
      </c>
    </row>
    <row r="140" spans="2:32" ht="15.6" x14ac:dyDescent="0.3">
      <c r="B140" s="8">
        <v>126</v>
      </c>
      <c r="C140" s="48" t="s">
        <v>164</v>
      </c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2">
        <v>5</v>
      </c>
      <c r="T140" s="42">
        <v>6</v>
      </c>
      <c r="U140" s="42">
        <v>6</v>
      </c>
      <c r="V140" s="42">
        <v>6</v>
      </c>
      <c r="W140" s="42">
        <v>5</v>
      </c>
      <c r="X140" s="26">
        <f t="shared" si="6"/>
        <v>28</v>
      </c>
      <c r="Y140" s="26">
        <v>15</v>
      </c>
      <c r="Z140" s="51">
        <v>8</v>
      </c>
      <c r="AA140" s="51">
        <v>3</v>
      </c>
      <c r="AB140" s="51">
        <v>4</v>
      </c>
      <c r="AC140" s="26">
        <f t="shared" si="7"/>
        <v>15</v>
      </c>
      <c r="AD140" s="25">
        <v>5</v>
      </c>
      <c r="AE140" s="93">
        <f t="shared" si="8"/>
        <v>63</v>
      </c>
      <c r="AF140" s="101">
        <f t="shared" si="9"/>
        <v>25.583333333333336</v>
      </c>
    </row>
    <row r="141" spans="2:32" ht="15.6" x14ac:dyDescent="0.3">
      <c r="B141" s="8">
        <v>127</v>
      </c>
      <c r="C141" s="48" t="s">
        <v>165</v>
      </c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2">
        <v>5</v>
      </c>
      <c r="T141" s="42">
        <v>6</v>
      </c>
      <c r="U141" s="42">
        <v>5</v>
      </c>
      <c r="V141" s="42">
        <v>6</v>
      </c>
      <c r="W141" s="42">
        <v>6</v>
      </c>
      <c r="X141" s="26">
        <f t="shared" si="6"/>
        <v>28</v>
      </c>
      <c r="Y141" s="26">
        <v>16</v>
      </c>
      <c r="Z141" s="51">
        <v>8</v>
      </c>
      <c r="AA141" s="51">
        <v>6</v>
      </c>
      <c r="AB141" s="51">
        <v>4</v>
      </c>
      <c r="AC141" s="26">
        <f t="shared" si="7"/>
        <v>18</v>
      </c>
      <c r="AD141" s="25">
        <v>5</v>
      </c>
      <c r="AE141" s="93">
        <f t="shared" si="8"/>
        <v>67</v>
      </c>
      <c r="AF141" s="101">
        <f t="shared" si="9"/>
        <v>26.833333333333336</v>
      </c>
    </row>
    <row r="142" spans="2:32" ht="15.6" x14ac:dyDescent="0.3">
      <c r="B142" s="8">
        <v>128</v>
      </c>
      <c r="C142" s="48" t="s">
        <v>166</v>
      </c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2">
        <v>5</v>
      </c>
      <c r="T142" s="42">
        <v>5</v>
      </c>
      <c r="U142" s="42">
        <v>6</v>
      </c>
      <c r="V142" s="42">
        <v>6</v>
      </c>
      <c r="W142" s="42">
        <v>6</v>
      </c>
      <c r="X142" s="26">
        <f t="shared" si="6"/>
        <v>28</v>
      </c>
      <c r="Y142" s="26">
        <v>20</v>
      </c>
      <c r="Z142" s="51">
        <v>8</v>
      </c>
      <c r="AA142" s="51">
        <v>8</v>
      </c>
      <c r="AB142" s="51">
        <v>3</v>
      </c>
      <c r="AC142" s="26">
        <f t="shared" si="7"/>
        <v>19</v>
      </c>
      <c r="AD142" s="25">
        <v>5</v>
      </c>
      <c r="AE142" s="93">
        <f t="shared" si="8"/>
        <v>72</v>
      </c>
      <c r="AF142" s="101">
        <f t="shared" si="9"/>
        <v>29.083333333333336</v>
      </c>
    </row>
    <row r="143" spans="2:32" ht="15.6" x14ac:dyDescent="0.3">
      <c r="B143" s="8">
        <v>129</v>
      </c>
      <c r="C143" s="48" t="s">
        <v>167</v>
      </c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2">
        <v>2</v>
      </c>
      <c r="T143" s="42">
        <v>3</v>
      </c>
      <c r="U143" s="42">
        <v>2</v>
      </c>
      <c r="V143" s="42">
        <v>2</v>
      </c>
      <c r="W143" s="42">
        <v>3</v>
      </c>
      <c r="X143" s="26">
        <f t="shared" si="6"/>
        <v>12</v>
      </c>
      <c r="Y143" s="26">
        <v>19</v>
      </c>
      <c r="Z143" s="51">
        <v>4</v>
      </c>
      <c r="AA143" s="51">
        <v>4</v>
      </c>
      <c r="AB143" s="51">
        <v>3</v>
      </c>
      <c r="AC143" s="26">
        <f t="shared" si="7"/>
        <v>11</v>
      </c>
      <c r="AD143" s="25">
        <v>5</v>
      </c>
      <c r="AE143" s="93">
        <f t="shared" si="8"/>
        <v>47</v>
      </c>
      <c r="AF143" s="101">
        <f t="shared" si="9"/>
        <v>21.25</v>
      </c>
    </row>
    <row r="144" spans="2:32" ht="15.6" x14ac:dyDescent="0.3">
      <c r="B144" s="8">
        <v>130</v>
      </c>
      <c r="C144" s="48" t="s">
        <v>168</v>
      </c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2">
        <v>6</v>
      </c>
      <c r="T144" s="42">
        <v>6</v>
      </c>
      <c r="U144" s="42">
        <v>5</v>
      </c>
      <c r="V144" s="42">
        <v>6</v>
      </c>
      <c r="W144" s="42">
        <v>5</v>
      </c>
      <c r="X144" s="26">
        <f t="shared" ref="X144:X195" si="10">SUM(S144:W144)</f>
        <v>28</v>
      </c>
      <c r="Y144" s="26">
        <v>17</v>
      </c>
      <c r="Z144" s="51">
        <v>8</v>
      </c>
      <c r="AA144" s="51">
        <v>6</v>
      </c>
      <c r="AB144" s="51">
        <v>4</v>
      </c>
      <c r="AC144" s="26">
        <f t="shared" ref="AC144:AC195" si="11">SUM(Z144:AB144)</f>
        <v>18</v>
      </c>
      <c r="AD144" s="25">
        <v>5</v>
      </c>
      <c r="AE144" s="93">
        <f t="shared" ref="AE144:AE195" si="12">SUM(X144,Y144,AC144,AD144)</f>
        <v>68</v>
      </c>
      <c r="AF144" s="101">
        <f t="shared" ref="AF144:AF195" si="13">(X144/3)+(Y144/2)+(AC144/4)+(AD144)</f>
        <v>27.333333333333336</v>
      </c>
    </row>
    <row r="145" spans="2:32" ht="15.6" x14ac:dyDescent="0.3">
      <c r="B145" s="8">
        <v>131</v>
      </c>
      <c r="C145" s="48" t="s">
        <v>169</v>
      </c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2">
        <v>6</v>
      </c>
      <c r="T145" s="42">
        <v>6</v>
      </c>
      <c r="U145" s="42">
        <v>6</v>
      </c>
      <c r="V145" s="42">
        <v>6</v>
      </c>
      <c r="W145" s="42">
        <v>4</v>
      </c>
      <c r="X145" s="26">
        <f t="shared" si="10"/>
        <v>28</v>
      </c>
      <c r="Y145" s="26">
        <v>16</v>
      </c>
      <c r="Z145" s="51">
        <v>8</v>
      </c>
      <c r="AA145" s="51">
        <v>5</v>
      </c>
      <c r="AB145" s="51">
        <v>4</v>
      </c>
      <c r="AC145" s="26">
        <f t="shared" si="11"/>
        <v>17</v>
      </c>
      <c r="AD145" s="25">
        <v>5</v>
      </c>
      <c r="AE145" s="93">
        <f t="shared" si="12"/>
        <v>66</v>
      </c>
      <c r="AF145" s="101">
        <f t="shared" si="13"/>
        <v>26.583333333333336</v>
      </c>
    </row>
    <row r="146" spans="2:32" ht="15.6" x14ac:dyDescent="0.3">
      <c r="B146" s="8">
        <v>132</v>
      </c>
      <c r="C146" s="48" t="s">
        <v>170</v>
      </c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2">
        <v>6</v>
      </c>
      <c r="T146" s="42">
        <v>6</v>
      </c>
      <c r="U146" s="42">
        <v>5</v>
      </c>
      <c r="V146" s="42">
        <v>6</v>
      </c>
      <c r="W146" s="42">
        <v>5</v>
      </c>
      <c r="X146" s="26">
        <f t="shared" si="10"/>
        <v>28</v>
      </c>
      <c r="Y146" s="26">
        <v>16</v>
      </c>
      <c r="Z146" s="51">
        <v>8</v>
      </c>
      <c r="AA146" s="51">
        <v>6</v>
      </c>
      <c r="AB146" s="51">
        <v>4</v>
      </c>
      <c r="AC146" s="26">
        <f t="shared" si="11"/>
        <v>18</v>
      </c>
      <c r="AD146" s="25">
        <v>5</v>
      </c>
      <c r="AE146" s="93">
        <f t="shared" si="12"/>
        <v>67</v>
      </c>
      <c r="AF146" s="101">
        <f t="shared" si="13"/>
        <v>26.833333333333336</v>
      </c>
    </row>
    <row r="147" spans="2:32" ht="15.6" x14ac:dyDescent="0.3">
      <c r="B147" s="8">
        <v>133</v>
      </c>
      <c r="C147" s="48" t="s">
        <v>171</v>
      </c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2">
        <v>5</v>
      </c>
      <c r="T147" s="42">
        <v>6</v>
      </c>
      <c r="U147" s="42">
        <v>5</v>
      </c>
      <c r="V147" s="42">
        <v>6</v>
      </c>
      <c r="W147" s="42">
        <v>5</v>
      </c>
      <c r="X147" s="26">
        <f t="shared" si="10"/>
        <v>27</v>
      </c>
      <c r="Y147" s="26">
        <v>17</v>
      </c>
      <c r="Z147" s="51">
        <v>8</v>
      </c>
      <c r="AA147" s="51">
        <v>5</v>
      </c>
      <c r="AB147" s="51">
        <v>4</v>
      </c>
      <c r="AC147" s="26">
        <f t="shared" si="11"/>
        <v>17</v>
      </c>
      <c r="AD147" s="25">
        <v>5</v>
      </c>
      <c r="AE147" s="93">
        <f t="shared" si="12"/>
        <v>66</v>
      </c>
      <c r="AF147" s="101">
        <f t="shared" si="13"/>
        <v>26.75</v>
      </c>
    </row>
    <row r="148" spans="2:32" ht="15.6" x14ac:dyDescent="0.3">
      <c r="B148" s="8">
        <v>134</v>
      </c>
      <c r="C148" s="48" t="s">
        <v>172</v>
      </c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2"/>
      <c r="T148" s="42">
        <v>3</v>
      </c>
      <c r="U148" s="42"/>
      <c r="V148" s="42"/>
      <c r="W148" s="42"/>
      <c r="X148" s="26">
        <f t="shared" si="10"/>
        <v>3</v>
      </c>
      <c r="Y148" s="26">
        <v>15</v>
      </c>
      <c r="Z148" s="51">
        <v>5</v>
      </c>
      <c r="AA148" s="51">
        <v>3</v>
      </c>
      <c r="AB148" s="51"/>
      <c r="AC148" s="26">
        <f t="shared" si="11"/>
        <v>8</v>
      </c>
      <c r="AD148" s="25">
        <v>5</v>
      </c>
      <c r="AE148" s="93">
        <f t="shared" si="12"/>
        <v>31</v>
      </c>
      <c r="AF148" s="101">
        <f t="shared" si="13"/>
        <v>15.5</v>
      </c>
    </row>
    <row r="149" spans="2:32" ht="15.6" x14ac:dyDescent="0.3">
      <c r="B149" s="8">
        <v>135</v>
      </c>
      <c r="C149" s="48" t="s">
        <v>173</v>
      </c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2">
        <v>5</v>
      </c>
      <c r="T149" s="42">
        <v>6</v>
      </c>
      <c r="U149" s="42">
        <v>5</v>
      </c>
      <c r="V149" s="42">
        <v>6</v>
      </c>
      <c r="W149" s="42">
        <v>5</v>
      </c>
      <c r="X149" s="26">
        <f t="shared" si="10"/>
        <v>27</v>
      </c>
      <c r="Y149" s="26">
        <v>16</v>
      </c>
      <c r="Z149" s="51">
        <v>6</v>
      </c>
      <c r="AA149" s="51">
        <v>5</v>
      </c>
      <c r="AB149" s="51">
        <v>4</v>
      </c>
      <c r="AC149" s="26">
        <f t="shared" si="11"/>
        <v>15</v>
      </c>
      <c r="AD149" s="25">
        <v>5</v>
      </c>
      <c r="AE149" s="93">
        <f t="shared" si="12"/>
        <v>63</v>
      </c>
      <c r="AF149" s="101">
        <f t="shared" si="13"/>
        <v>25.75</v>
      </c>
    </row>
    <row r="150" spans="2:32" ht="15.6" x14ac:dyDescent="0.3">
      <c r="B150" s="8">
        <v>136</v>
      </c>
      <c r="C150" s="48" t="s">
        <v>174</v>
      </c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2">
        <v>5</v>
      </c>
      <c r="T150" s="42">
        <v>6</v>
      </c>
      <c r="U150" s="42">
        <v>5</v>
      </c>
      <c r="V150" s="42">
        <v>6</v>
      </c>
      <c r="W150" s="42">
        <v>5</v>
      </c>
      <c r="X150" s="26">
        <f t="shared" si="10"/>
        <v>27</v>
      </c>
      <c r="Y150" s="26">
        <v>15</v>
      </c>
      <c r="Z150" s="51">
        <v>8</v>
      </c>
      <c r="AA150" s="51">
        <v>6</v>
      </c>
      <c r="AB150" s="51">
        <v>3</v>
      </c>
      <c r="AC150" s="26">
        <f t="shared" si="11"/>
        <v>17</v>
      </c>
      <c r="AD150" s="25">
        <v>5</v>
      </c>
      <c r="AE150" s="93">
        <f t="shared" si="12"/>
        <v>64</v>
      </c>
      <c r="AF150" s="101">
        <f t="shared" si="13"/>
        <v>25.75</v>
      </c>
    </row>
    <row r="151" spans="2:32" ht="15.6" x14ac:dyDescent="0.3">
      <c r="B151" s="8">
        <v>137</v>
      </c>
      <c r="C151" s="48" t="s">
        <v>175</v>
      </c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2">
        <v>4</v>
      </c>
      <c r="T151" s="42">
        <v>5</v>
      </c>
      <c r="U151" s="42">
        <v>6</v>
      </c>
      <c r="V151" s="42">
        <v>4</v>
      </c>
      <c r="W151" s="42">
        <v>4</v>
      </c>
      <c r="X151" s="26">
        <f t="shared" si="10"/>
        <v>23</v>
      </c>
      <c r="Y151" s="26">
        <v>17</v>
      </c>
      <c r="Z151" s="51">
        <v>8</v>
      </c>
      <c r="AA151" s="51">
        <v>4</v>
      </c>
      <c r="AB151" s="51">
        <v>4</v>
      </c>
      <c r="AC151" s="26">
        <f t="shared" si="11"/>
        <v>16</v>
      </c>
      <c r="AD151" s="25">
        <v>5</v>
      </c>
      <c r="AE151" s="93">
        <f t="shared" si="12"/>
        <v>61</v>
      </c>
      <c r="AF151" s="101">
        <f t="shared" si="13"/>
        <v>25.166666666666668</v>
      </c>
    </row>
    <row r="152" spans="2:32" ht="15.6" x14ac:dyDescent="0.3">
      <c r="B152" s="8">
        <v>138</v>
      </c>
      <c r="C152" s="48" t="s">
        <v>176</v>
      </c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2">
        <v>4</v>
      </c>
      <c r="T152" s="42">
        <v>4</v>
      </c>
      <c r="U152" s="42">
        <v>4</v>
      </c>
      <c r="V152" s="42">
        <v>4</v>
      </c>
      <c r="W152" s="42">
        <v>4</v>
      </c>
      <c r="X152" s="26">
        <f t="shared" si="10"/>
        <v>20</v>
      </c>
      <c r="Y152" s="26">
        <v>17</v>
      </c>
      <c r="Z152" s="51">
        <v>6</v>
      </c>
      <c r="AA152" s="51">
        <v>5</v>
      </c>
      <c r="AB152" s="51">
        <v>4</v>
      </c>
      <c r="AC152" s="26">
        <f t="shared" si="11"/>
        <v>15</v>
      </c>
      <c r="AD152" s="25">
        <v>5</v>
      </c>
      <c r="AE152" s="93">
        <f t="shared" si="12"/>
        <v>57</v>
      </c>
      <c r="AF152" s="101">
        <f t="shared" si="13"/>
        <v>23.916666666666668</v>
      </c>
    </row>
    <row r="153" spans="2:32" ht="15.6" x14ac:dyDescent="0.3">
      <c r="B153" s="8">
        <v>139</v>
      </c>
      <c r="C153" s="48" t="s">
        <v>177</v>
      </c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2">
        <v>5</v>
      </c>
      <c r="T153" s="42">
        <v>4</v>
      </c>
      <c r="U153" s="42">
        <v>5</v>
      </c>
      <c r="V153" s="42">
        <v>6</v>
      </c>
      <c r="W153" s="42">
        <v>6</v>
      </c>
      <c r="X153" s="26">
        <f t="shared" si="10"/>
        <v>26</v>
      </c>
      <c r="Y153" s="26">
        <v>18</v>
      </c>
      <c r="Z153" s="51">
        <v>8</v>
      </c>
      <c r="AA153" s="51">
        <v>6</v>
      </c>
      <c r="AB153" s="51">
        <v>3</v>
      </c>
      <c r="AC153" s="26">
        <f t="shared" si="11"/>
        <v>17</v>
      </c>
      <c r="AD153" s="25">
        <v>5</v>
      </c>
      <c r="AE153" s="93">
        <f t="shared" si="12"/>
        <v>66</v>
      </c>
      <c r="AF153" s="101">
        <f t="shared" si="13"/>
        <v>26.916666666666664</v>
      </c>
    </row>
    <row r="154" spans="2:32" ht="15.6" x14ac:dyDescent="0.3">
      <c r="B154" s="8">
        <v>140</v>
      </c>
      <c r="C154" s="48" t="s">
        <v>178</v>
      </c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2">
        <v>5</v>
      </c>
      <c r="T154" s="42">
        <v>5</v>
      </c>
      <c r="U154" s="42">
        <v>4</v>
      </c>
      <c r="V154" s="42">
        <v>5</v>
      </c>
      <c r="W154" s="42">
        <v>4</v>
      </c>
      <c r="X154" s="26">
        <f t="shared" si="10"/>
        <v>23</v>
      </c>
      <c r="Y154" s="26">
        <v>16</v>
      </c>
      <c r="Z154" s="51">
        <v>7</v>
      </c>
      <c r="AA154" s="51">
        <v>5</v>
      </c>
      <c r="AB154" s="51">
        <v>4</v>
      </c>
      <c r="AC154" s="26">
        <f t="shared" si="11"/>
        <v>16</v>
      </c>
      <c r="AD154" s="25">
        <v>5</v>
      </c>
      <c r="AE154" s="93">
        <f t="shared" si="12"/>
        <v>60</v>
      </c>
      <c r="AF154" s="101">
        <f t="shared" si="13"/>
        <v>24.666666666666668</v>
      </c>
    </row>
    <row r="155" spans="2:32" ht="15.6" x14ac:dyDescent="0.3">
      <c r="B155" s="8">
        <v>141</v>
      </c>
      <c r="C155" s="48" t="s">
        <v>179</v>
      </c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2">
        <v>4</v>
      </c>
      <c r="T155" s="42">
        <v>5</v>
      </c>
      <c r="U155" s="42"/>
      <c r="V155" s="42">
        <v>3</v>
      </c>
      <c r="W155" s="42">
        <v>5</v>
      </c>
      <c r="X155" s="26">
        <f t="shared" si="10"/>
        <v>17</v>
      </c>
      <c r="Y155" s="26">
        <v>16</v>
      </c>
      <c r="Z155" s="51">
        <v>6</v>
      </c>
      <c r="AA155" s="51">
        <v>4</v>
      </c>
      <c r="AB155" s="51">
        <v>4</v>
      </c>
      <c r="AC155" s="26">
        <f t="shared" si="11"/>
        <v>14</v>
      </c>
      <c r="AD155" s="25">
        <v>5</v>
      </c>
      <c r="AE155" s="93">
        <f t="shared" si="12"/>
        <v>52</v>
      </c>
      <c r="AF155" s="101">
        <f t="shared" si="13"/>
        <v>22.166666666666668</v>
      </c>
    </row>
    <row r="156" spans="2:32" ht="15.6" x14ac:dyDescent="0.3">
      <c r="B156" s="8">
        <v>142</v>
      </c>
      <c r="C156" s="48" t="s">
        <v>180</v>
      </c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2">
        <v>3</v>
      </c>
      <c r="T156" s="42">
        <v>3</v>
      </c>
      <c r="U156" s="42"/>
      <c r="V156" s="42">
        <v>3</v>
      </c>
      <c r="W156" s="42"/>
      <c r="X156" s="26">
        <f t="shared" si="10"/>
        <v>9</v>
      </c>
      <c r="Y156" s="26">
        <v>12</v>
      </c>
      <c r="Z156" s="51"/>
      <c r="AA156" s="51">
        <v>1</v>
      </c>
      <c r="AB156" s="51">
        <v>4</v>
      </c>
      <c r="AC156" s="26">
        <f t="shared" si="11"/>
        <v>5</v>
      </c>
      <c r="AD156" s="25">
        <v>5</v>
      </c>
      <c r="AE156" s="93">
        <f t="shared" si="12"/>
        <v>31</v>
      </c>
      <c r="AF156" s="101">
        <f t="shared" si="13"/>
        <v>15.25</v>
      </c>
    </row>
    <row r="157" spans="2:32" ht="15.6" x14ac:dyDescent="0.3">
      <c r="B157" s="8">
        <v>143</v>
      </c>
      <c r="C157" s="48" t="s">
        <v>181</v>
      </c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2">
        <v>4</v>
      </c>
      <c r="T157" s="42">
        <v>5</v>
      </c>
      <c r="U157" s="42">
        <v>3</v>
      </c>
      <c r="V157" s="42">
        <v>3</v>
      </c>
      <c r="W157" s="42">
        <v>3</v>
      </c>
      <c r="X157" s="26">
        <f t="shared" si="10"/>
        <v>18</v>
      </c>
      <c r="Y157" s="26">
        <v>16</v>
      </c>
      <c r="Z157" s="51">
        <v>8</v>
      </c>
      <c r="AA157" s="51">
        <v>1</v>
      </c>
      <c r="AB157" s="51">
        <v>1</v>
      </c>
      <c r="AC157" s="26">
        <f t="shared" si="11"/>
        <v>10</v>
      </c>
      <c r="AD157" s="25">
        <v>5</v>
      </c>
      <c r="AE157" s="93">
        <f t="shared" si="12"/>
        <v>49</v>
      </c>
      <c r="AF157" s="101">
        <f t="shared" si="13"/>
        <v>21.5</v>
      </c>
    </row>
    <row r="158" spans="2:32" ht="15.6" x14ac:dyDescent="0.3">
      <c r="B158" s="8">
        <v>144</v>
      </c>
      <c r="C158" s="48" t="s">
        <v>182</v>
      </c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2">
        <v>4</v>
      </c>
      <c r="T158" s="42">
        <v>5</v>
      </c>
      <c r="U158" s="42"/>
      <c r="V158" s="42"/>
      <c r="W158" s="42">
        <v>3</v>
      </c>
      <c r="X158" s="26">
        <f t="shared" si="10"/>
        <v>12</v>
      </c>
      <c r="Y158" s="26">
        <v>18</v>
      </c>
      <c r="Z158" s="51">
        <v>7</v>
      </c>
      <c r="AA158" s="51">
        <v>4</v>
      </c>
      <c r="AB158" s="51">
        <v>3</v>
      </c>
      <c r="AC158" s="26">
        <f t="shared" si="11"/>
        <v>14</v>
      </c>
      <c r="AD158" s="25">
        <v>5</v>
      </c>
      <c r="AE158" s="93">
        <f t="shared" si="12"/>
        <v>49</v>
      </c>
      <c r="AF158" s="101">
        <f t="shared" si="13"/>
        <v>21.5</v>
      </c>
    </row>
    <row r="159" spans="2:32" ht="15.6" x14ac:dyDescent="0.3">
      <c r="B159" s="8">
        <v>145</v>
      </c>
      <c r="C159" s="48" t="s">
        <v>183</v>
      </c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2">
        <v>5</v>
      </c>
      <c r="T159" s="42">
        <v>5</v>
      </c>
      <c r="U159" s="42">
        <v>2</v>
      </c>
      <c r="V159" s="42">
        <v>3</v>
      </c>
      <c r="W159" s="42">
        <v>4</v>
      </c>
      <c r="X159" s="26">
        <f t="shared" si="10"/>
        <v>19</v>
      </c>
      <c r="Y159" s="26">
        <v>15</v>
      </c>
      <c r="Z159" s="51">
        <v>8</v>
      </c>
      <c r="AA159" s="51">
        <v>2</v>
      </c>
      <c r="AB159" s="51">
        <v>3</v>
      </c>
      <c r="AC159" s="26">
        <f t="shared" si="11"/>
        <v>13</v>
      </c>
      <c r="AD159" s="25">
        <v>5</v>
      </c>
      <c r="AE159" s="93">
        <f t="shared" si="12"/>
        <v>52</v>
      </c>
      <c r="AF159" s="101">
        <f t="shared" si="13"/>
        <v>22.083333333333332</v>
      </c>
    </row>
    <row r="160" spans="2:32" ht="15.6" x14ac:dyDescent="0.3">
      <c r="B160" s="8">
        <v>146</v>
      </c>
      <c r="C160" s="48" t="s">
        <v>184</v>
      </c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2">
        <v>6</v>
      </c>
      <c r="T160" s="42">
        <v>6</v>
      </c>
      <c r="U160" s="42">
        <v>6</v>
      </c>
      <c r="V160" s="42">
        <v>6</v>
      </c>
      <c r="W160" s="42">
        <v>2</v>
      </c>
      <c r="X160" s="26">
        <f t="shared" si="10"/>
        <v>26</v>
      </c>
      <c r="Y160" s="26">
        <v>16</v>
      </c>
      <c r="Z160" s="51">
        <v>7</v>
      </c>
      <c r="AA160" s="51">
        <v>4</v>
      </c>
      <c r="AB160" s="51">
        <v>3</v>
      </c>
      <c r="AC160" s="26">
        <f t="shared" si="11"/>
        <v>14</v>
      </c>
      <c r="AD160" s="25">
        <v>5</v>
      </c>
      <c r="AE160" s="93">
        <f t="shared" si="12"/>
        <v>61</v>
      </c>
      <c r="AF160" s="101">
        <f t="shared" si="13"/>
        <v>25.166666666666664</v>
      </c>
    </row>
    <row r="161" spans="2:32" ht="15.6" x14ac:dyDescent="0.3">
      <c r="B161" s="8">
        <v>147</v>
      </c>
      <c r="C161" s="48" t="s">
        <v>185</v>
      </c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2">
        <v>6</v>
      </c>
      <c r="T161" s="42">
        <v>6</v>
      </c>
      <c r="U161" s="42">
        <v>5</v>
      </c>
      <c r="V161" s="42">
        <v>6</v>
      </c>
      <c r="W161" s="42">
        <v>5</v>
      </c>
      <c r="X161" s="26">
        <f t="shared" si="10"/>
        <v>28</v>
      </c>
      <c r="Y161" s="26">
        <v>17</v>
      </c>
      <c r="Z161" s="51">
        <v>8</v>
      </c>
      <c r="AA161" s="51">
        <v>4</v>
      </c>
      <c r="AB161" s="51">
        <v>2</v>
      </c>
      <c r="AC161" s="26">
        <f t="shared" si="11"/>
        <v>14</v>
      </c>
      <c r="AD161" s="25">
        <v>5</v>
      </c>
      <c r="AE161" s="93">
        <f t="shared" si="12"/>
        <v>64</v>
      </c>
      <c r="AF161" s="101">
        <f t="shared" si="13"/>
        <v>26.333333333333336</v>
      </c>
    </row>
    <row r="162" spans="2:32" ht="15.6" x14ac:dyDescent="0.3">
      <c r="B162" s="8">
        <v>148</v>
      </c>
      <c r="C162" s="48" t="s">
        <v>186</v>
      </c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2">
        <v>4</v>
      </c>
      <c r="T162" s="42">
        <v>6</v>
      </c>
      <c r="U162" s="42">
        <v>5</v>
      </c>
      <c r="V162" s="42">
        <v>4</v>
      </c>
      <c r="W162" s="42">
        <v>5</v>
      </c>
      <c r="X162" s="26">
        <f t="shared" si="10"/>
        <v>24</v>
      </c>
      <c r="Y162" s="26">
        <v>12</v>
      </c>
      <c r="Z162" s="51">
        <v>7</v>
      </c>
      <c r="AA162" s="51">
        <v>4</v>
      </c>
      <c r="AB162" s="51"/>
      <c r="AC162" s="26">
        <f t="shared" si="11"/>
        <v>11</v>
      </c>
      <c r="AD162" s="25">
        <v>5</v>
      </c>
      <c r="AE162" s="93">
        <f t="shared" si="12"/>
        <v>52</v>
      </c>
      <c r="AF162" s="101">
        <f t="shared" si="13"/>
        <v>21.75</v>
      </c>
    </row>
    <row r="163" spans="2:32" ht="15.6" x14ac:dyDescent="0.3">
      <c r="B163" s="8">
        <v>149</v>
      </c>
      <c r="C163" s="48" t="s">
        <v>187</v>
      </c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2"/>
      <c r="T163" s="42">
        <v>5</v>
      </c>
      <c r="U163" s="42"/>
      <c r="V163" s="42"/>
      <c r="W163" s="42">
        <v>4</v>
      </c>
      <c r="X163" s="26">
        <f t="shared" si="10"/>
        <v>9</v>
      </c>
      <c r="Y163" s="26">
        <v>16</v>
      </c>
      <c r="Z163" s="51">
        <v>7</v>
      </c>
      <c r="AA163" s="51">
        <v>4</v>
      </c>
      <c r="AB163" s="51">
        <v>3</v>
      </c>
      <c r="AC163" s="26">
        <f t="shared" si="11"/>
        <v>14</v>
      </c>
      <c r="AD163" s="25">
        <v>5</v>
      </c>
      <c r="AE163" s="93">
        <f t="shared" si="12"/>
        <v>44</v>
      </c>
      <c r="AF163" s="101">
        <f t="shared" si="13"/>
        <v>19.5</v>
      </c>
    </row>
    <row r="164" spans="2:32" ht="15.6" x14ac:dyDescent="0.3">
      <c r="B164" s="8">
        <v>150</v>
      </c>
      <c r="C164" s="48" t="s">
        <v>188</v>
      </c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2">
        <v>2</v>
      </c>
      <c r="T164" s="42">
        <v>5</v>
      </c>
      <c r="U164" s="42">
        <v>4</v>
      </c>
      <c r="V164" s="42">
        <v>6</v>
      </c>
      <c r="W164" s="42">
        <v>5</v>
      </c>
      <c r="X164" s="26">
        <f t="shared" si="10"/>
        <v>22</v>
      </c>
      <c r="Y164" s="26">
        <v>15</v>
      </c>
      <c r="Z164" s="51">
        <v>8</v>
      </c>
      <c r="AA164" s="51">
        <v>6</v>
      </c>
      <c r="AB164" s="51">
        <v>3</v>
      </c>
      <c r="AC164" s="26">
        <f t="shared" si="11"/>
        <v>17</v>
      </c>
      <c r="AD164" s="25">
        <v>5</v>
      </c>
      <c r="AE164" s="93">
        <f t="shared" si="12"/>
        <v>59</v>
      </c>
      <c r="AF164" s="101">
        <f t="shared" si="13"/>
        <v>24.083333333333332</v>
      </c>
    </row>
    <row r="165" spans="2:32" ht="15.6" x14ac:dyDescent="0.3">
      <c r="B165" s="8">
        <v>151</v>
      </c>
      <c r="C165" s="48" t="s">
        <v>189</v>
      </c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2">
        <v>3</v>
      </c>
      <c r="T165" s="42">
        <v>5</v>
      </c>
      <c r="U165" s="42">
        <v>4</v>
      </c>
      <c r="V165" s="42">
        <v>4</v>
      </c>
      <c r="W165" s="42">
        <v>4</v>
      </c>
      <c r="X165" s="26">
        <f t="shared" si="10"/>
        <v>20</v>
      </c>
      <c r="Y165" s="26">
        <v>13</v>
      </c>
      <c r="Z165" s="51">
        <v>6</v>
      </c>
      <c r="AA165" s="51">
        <v>5</v>
      </c>
      <c r="AB165" s="51">
        <v>3</v>
      </c>
      <c r="AC165" s="26">
        <f t="shared" si="11"/>
        <v>14</v>
      </c>
      <c r="AD165" s="25">
        <v>5</v>
      </c>
      <c r="AE165" s="93">
        <f t="shared" si="12"/>
        <v>52</v>
      </c>
      <c r="AF165" s="101">
        <f t="shared" si="13"/>
        <v>21.666666666666668</v>
      </c>
    </row>
    <row r="166" spans="2:32" ht="15.6" x14ac:dyDescent="0.3">
      <c r="B166" s="8">
        <v>152</v>
      </c>
      <c r="C166" s="48" t="s">
        <v>190</v>
      </c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2">
        <v>6</v>
      </c>
      <c r="T166" s="42">
        <v>6</v>
      </c>
      <c r="U166" s="42"/>
      <c r="V166" s="42">
        <v>5</v>
      </c>
      <c r="W166" s="42">
        <v>5</v>
      </c>
      <c r="X166" s="26">
        <f t="shared" si="10"/>
        <v>22</v>
      </c>
      <c r="Y166" s="26">
        <v>7</v>
      </c>
      <c r="Z166" s="51">
        <v>7</v>
      </c>
      <c r="AA166" s="51">
        <v>3</v>
      </c>
      <c r="AB166" s="51">
        <v>2</v>
      </c>
      <c r="AC166" s="26">
        <f t="shared" si="11"/>
        <v>12</v>
      </c>
      <c r="AD166" s="25">
        <v>5</v>
      </c>
      <c r="AE166" s="93">
        <f t="shared" si="12"/>
        <v>46</v>
      </c>
      <c r="AF166" s="101">
        <f t="shared" si="13"/>
        <v>18.833333333333332</v>
      </c>
    </row>
    <row r="167" spans="2:32" ht="15.6" x14ac:dyDescent="0.3">
      <c r="B167" s="8">
        <v>153</v>
      </c>
      <c r="C167" s="48" t="s">
        <v>191</v>
      </c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2">
        <v>5</v>
      </c>
      <c r="T167" s="42">
        <v>4</v>
      </c>
      <c r="U167" s="42">
        <v>5</v>
      </c>
      <c r="V167" s="42">
        <v>4</v>
      </c>
      <c r="W167" s="42">
        <v>3</v>
      </c>
      <c r="X167" s="26">
        <f t="shared" si="10"/>
        <v>21</v>
      </c>
      <c r="Y167" s="26">
        <v>18</v>
      </c>
      <c r="Z167" s="51">
        <v>6</v>
      </c>
      <c r="AA167" s="51"/>
      <c r="AB167" s="51">
        <v>3</v>
      </c>
      <c r="AC167" s="26">
        <f t="shared" si="11"/>
        <v>9</v>
      </c>
      <c r="AD167" s="25">
        <v>5</v>
      </c>
      <c r="AE167" s="93">
        <f t="shared" si="12"/>
        <v>53</v>
      </c>
      <c r="AF167" s="101">
        <f t="shared" si="13"/>
        <v>23.25</v>
      </c>
    </row>
    <row r="168" spans="2:32" ht="15.6" x14ac:dyDescent="0.3">
      <c r="B168" s="8">
        <v>154</v>
      </c>
      <c r="C168" s="48" t="s">
        <v>192</v>
      </c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2">
        <v>5</v>
      </c>
      <c r="T168" s="42">
        <v>5</v>
      </c>
      <c r="U168" s="42">
        <v>4</v>
      </c>
      <c r="V168" s="42">
        <v>6</v>
      </c>
      <c r="W168" s="42">
        <v>3</v>
      </c>
      <c r="X168" s="26">
        <f t="shared" si="10"/>
        <v>23</v>
      </c>
      <c r="Y168" s="26">
        <v>8</v>
      </c>
      <c r="Z168" s="51">
        <v>6</v>
      </c>
      <c r="AA168" s="51">
        <v>5</v>
      </c>
      <c r="AB168" s="51">
        <v>4</v>
      </c>
      <c r="AC168" s="26">
        <f t="shared" si="11"/>
        <v>15</v>
      </c>
      <c r="AD168" s="25">
        <v>5</v>
      </c>
      <c r="AE168" s="93">
        <f t="shared" si="12"/>
        <v>51</v>
      </c>
      <c r="AF168" s="101">
        <f t="shared" si="13"/>
        <v>20.416666666666668</v>
      </c>
    </row>
    <row r="169" spans="2:32" ht="15.6" x14ac:dyDescent="0.3">
      <c r="B169" s="8">
        <v>155</v>
      </c>
      <c r="C169" s="48" t="s">
        <v>193</v>
      </c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2">
        <v>5</v>
      </c>
      <c r="T169" s="42">
        <v>6</v>
      </c>
      <c r="U169" s="42">
        <v>5</v>
      </c>
      <c r="V169" s="42">
        <v>6</v>
      </c>
      <c r="W169" s="42">
        <v>3</v>
      </c>
      <c r="X169" s="26">
        <f t="shared" si="10"/>
        <v>25</v>
      </c>
      <c r="Y169" s="26">
        <v>13</v>
      </c>
      <c r="Z169" s="51">
        <v>8</v>
      </c>
      <c r="AA169" s="51">
        <v>5</v>
      </c>
      <c r="AB169" s="51">
        <v>3</v>
      </c>
      <c r="AC169" s="26">
        <f t="shared" si="11"/>
        <v>16</v>
      </c>
      <c r="AD169" s="25">
        <v>5</v>
      </c>
      <c r="AE169" s="93">
        <f t="shared" si="12"/>
        <v>59</v>
      </c>
      <c r="AF169" s="101">
        <f t="shared" si="13"/>
        <v>23.833333333333336</v>
      </c>
    </row>
    <row r="170" spans="2:32" ht="15.6" x14ac:dyDescent="0.3">
      <c r="B170" s="8">
        <v>156</v>
      </c>
      <c r="C170" s="48" t="s">
        <v>194</v>
      </c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2">
        <v>5</v>
      </c>
      <c r="T170" s="42">
        <v>5</v>
      </c>
      <c r="U170" s="42">
        <v>5</v>
      </c>
      <c r="V170" s="42">
        <v>5</v>
      </c>
      <c r="W170" s="42">
        <v>5</v>
      </c>
      <c r="X170" s="26">
        <f t="shared" si="10"/>
        <v>25</v>
      </c>
      <c r="Y170" s="26">
        <v>17</v>
      </c>
      <c r="Z170" s="51">
        <v>8</v>
      </c>
      <c r="AA170" s="51">
        <v>6</v>
      </c>
      <c r="AB170" s="51">
        <v>3</v>
      </c>
      <c r="AC170" s="26">
        <f t="shared" si="11"/>
        <v>17</v>
      </c>
      <c r="AD170" s="25">
        <v>5</v>
      </c>
      <c r="AE170" s="93">
        <f t="shared" si="12"/>
        <v>64</v>
      </c>
      <c r="AF170" s="101">
        <f t="shared" si="13"/>
        <v>26.083333333333336</v>
      </c>
    </row>
    <row r="171" spans="2:32" ht="15.6" x14ac:dyDescent="0.3">
      <c r="B171" s="8">
        <v>157</v>
      </c>
      <c r="C171" s="48" t="s">
        <v>195</v>
      </c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2"/>
      <c r="T171" s="42"/>
      <c r="U171" s="42"/>
      <c r="V171" s="42">
        <v>2</v>
      </c>
      <c r="W171" s="42">
        <v>3</v>
      </c>
      <c r="X171" s="26">
        <f t="shared" si="10"/>
        <v>5</v>
      </c>
      <c r="Y171" s="26">
        <v>13</v>
      </c>
      <c r="Z171" s="51">
        <v>8</v>
      </c>
      <c r="AA171" s="51"/>
      <c r="AB171" s="51">
        <v>3</v>
      </c>
      <c r="AC171" s="26">
        <f t="shared" si="11"/>
        <v>11</v>
      </c>
      <c r="AD171" s="25">
        <v>5</v>
      </c>
      <c r="AE171" s="93">
        <f t="shared" si="12"/>
        <v>34</v>
      </c>
      <c r="AF171" s="101">
        <f t="shared" si="13"/>
        <v>15.916666666666666</v>
      </c>
    </row>
    <row r="172" spans="2:32" ht="15.6" x14ac:dyDescent="0.3">
      <c r="B172" s="8">
        <v>158</v>
      </c>
      <c r="C172" s="48" t="s">
        <v>196</v>
      </c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2">
        <v>5</v>
      </c>
      <c r="T172" s="42">
        <v>5</v>
      </c>
      <c r="U172" s="42">
        <v>5</v>
      </c>
      <c r="V172" s="42">
        <v>6</v>
      </c>
      <c r="W172" s="42">
        <v>3</v>
      </c>
      <c r="X172" s="26">
        <f t="shared" si="10"/>
        <v>24</v>
      </c>
      <c r="Y172" s="26">
        <v>17</v>
      </c>
      <c r="Z172" s="51">
        <v>7</v>
      </c>
      <c r="AA172" s="51"/>
      <c r="AB172" s="51">
        <v>3</v>
      </c>
      <c r="AC172" s="26">
        <f t="shared" si="11"/>
        <v>10</v>
      </c>
      <c r="AD172" s="25">
        <v>5</v>
      </c>
      <c r="AE172" s="93">
        <f t="shared" si="12"/>
        <v>56</v>
      </c>
      <c r="AF172" s="101">
        <f t="shared" si="13"/>
        <v>24</v>
      </c>
    </row>
    <row r="173" spans="2:32" ht="15.6" x14ac:dyDescent="0.3">
      <c r="B173" s="8">
        <v>159</v>
      </c>
      <c r="C173" s="48" t="s">
        <v>197</v>
      </c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2">
        <v>5</v>
      </c>
      <c r="T173" s="42">
        <v>5</v>
      </c>
      <c r="U173" s="42">
        <v>5</v>
      </c>
      <c r="V173" s="42">
        <v>4</v>
      </c>
      <c r="W173" s="42">
        <v>4</v>
      </c>
      <c r="X173" s="26">
        <f t="shared" si="10"/>
        <v>23</v>
      </c>
      <c r="Y173" s="26">
        <v>17</v>
      </c>
      <c r="Z173" s="51">
        <v>6</v>
      </c>
      <c r="AA173" s="51">
        <v>5</v>
      </c>
      <c r="AB173" s="51">
        <v>3</v>
      </c>
      <c r="AC173" s="26">
        <f t="shared" si="11"/>
        <v>14</v>
      </c>
      <c r="AD173" s="25">
        <v>5</v>
      </c>
      <c r="AE173" s="93">
        <f t="shared" si="12"/>
        <v>59</v>
      </c>
      <c r="AF173" s="101">
        <f t="shared" si="13"/>
        <v>24.666666666666668</v>
      </c>
    </row>
    <row r="174" spans="2:32" ht="15.6" x14ac:dyDescent="0.3">
      <c r="B174" s="8">
        <v>160</v>
      </c>
      <c r="C174" s="48" t="s">
        <v>198</v>
      </c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2">
        <v>5</v>
      </c>
      <c r="T174" s="42">
        <v>5</v>
      </c>
      <c r="U174" s="42">
        <v>4</v>
      </c>
      <c r="V174" s="42">
        <v>6</v>
      </c>
      <c r="W174" s="42">
        <v>2</v>
      </c>
      <c r="X174" s="26">
        <f t="shared" si="10"/>
        <v>22</v>
      </c>
      <c r="Y174" s="26">
        <v>20</v>
      </c>
      <c r="Z174" s="51">
        <v>7</v>
      </c>
      <c r="AA174" s="51">
        <v>1</v>
      </c>
      <c r="AB174" s="51">
        <v>2</v>
      </c>
      <c r="AC174" s="26">
        <f t="shared" si="11"/>
        <v>10</v>
      </c>
      <c r="AD174" s="25">
        <v>5</v>
      </c>
      <c r="AE174" s="93">
        <f t="shared" si="12"/>
        <v>57</v>
      </c>
      <c r="AF174" s="101">
        <f t="shared" si="13"/>
        <v>24.833333333333332</v>
      </c>
    </row>
    <row r="175" spans="2:32" ht="15.6" x14ac:dyDescent="0.3">
      <c r="B175" s="8">
        <v>161</v>
      </c>
      <c r="C175" s="48" t="s">
        <v>199</v>
      </c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2">
        <v>6</v>
      </c>
      <c r="T175" s="42">
        <v>6</v>
      </c>
      <c r="U175" s="42">
        <v>5</v>
      </c>
      <c r="V175" s="42">
        <v>6</v>
      </c>
      <c r="W175" s="42">
        <v>1</v>
      </c>
      <c r="X175" s="26">
        <f t="shared" si="10"/>
        <v>24</v>
      </c>
      <c r="Y175" s="26">
        <v>10</v>
      </c>
      <c r="Z175" s="51">
        <v>4</v>
      </c>
      <c r="AA175" s="51">
        <v>6</v>
      </c>
      <c r="AB175" s="51">
        <v>4</v>
      </c>
      <c r="AC175" s="26">
        <f t="shared" si="11"/>
        <v>14</v>
      </c>
      <c r="AD175" s="25">
        <v>5</v>
      </c>
      <c r="AE175" s="93">
        <f t="shared" si="12"/>
        <v>53</v>
      </c>
      <c r="AF175" s="101">
        <f t="shared" si="13"/>
        <v>21.5</v>
      </c>
    </row>
    <row r="176" spans="2:32" ht="15.6" x14ac:dyDescent="0.3">
      <c r="B176" s="8">
        <v>162</v>
      </c>
      <c r="C176" s="48" t="s">
        <v>200</v>
      </c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2">
        <v>3</v>
      </c>
      <c r="T176" s="42">
        <v>4</v>
      </c>
      <c r="U176" s="42">
        <v>5</v>
      </c>
      <c r="V176" s="42">
        <v>6</v>
      </c>
      <c r="W176" s="42"/>
      <c r="X176" s="26">
        <f t="shared" si="10"/>
        <v>18</v>
      </c>
      <c r="Y176" s="26">
        <v>6</v>
      </c>
      <c r="Z176" s="51">
        <v>7</v>
      </c>
      <c r="AA176" s="51">
        <v>5</v>
      </c>
      <c r="AB176" s="51"/>
      <c r="AC176" s="26">
        <f t="shared" si="11"/>
        <v>12</v>
      </c>
      <c r="AD176" s="25">
        <v>5</v>
      </c>
      <c r="AE176" s="93">
        <f t="shared" si="12"/>
        <v>41</v>
      </c>
      <c r="AF176" s="101">
        <f t="shared" si="13"/>
        <v>17</v>
      </c>
    </row>
    <row r="177" spans="2:32" ht="15.6" x14ac:dyDescent="0.3">
      <c r="B177" s="8">
        <v>163</v>
      </c>
      <c r="C177" s="48" t="s">
        <v>201</v>
      </c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2">
        <v>6</v>
      </c>
      <c r="T177" s="42">
        <v>6</v>
      </c>
      <c r="U177" s="42">
        <v>5</v>
      </c>
      <c r="V177" s="42">
        <v>6</v>
      </c>
      <c r="W177" s="42">
        <v>5</v>
      </c>
      <c r="X177" s="26">
        <f t="shared" si="10"/>
        <v>28</v>
      </c>
      <c r="Y177" s="26">
        <v>15</v>
      </c>
      <c r="Z177" s="51">
        <v>7</v>
      </c>
      <c r="AA177" s="51">
        <v>4</v>
      </c>
      <c r="AB177" s="51">
        <v>4</v>
      </c>
      <c r="AC177" s="26">
        <f t="shared" si="11"/>
        <v>15</v>
      </c>
      <c r="AD177" s="25">
        <v>5</v>
      </c>
      <c r="AE177" s="93">
        <f t="shared" si="12"/>
        <v>63</v>
      </c>
      <c r="AF177" s="101">
        <f t="shared" si="13"/>
        <v>25.583333333333336</v>
      </c>
    </row>
    <row r="178" spans="2:32" ht="15.6" x14ac:dyDescent="0.3">
      <c r="B178" s="8">
        <v>164</v>
      </c>
      <c r="C178" s="48" t="s">
        <v>202</v>
      </c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2">
        <v>5</v>
      </c>
      <c r="T178" s="42">
        <v>6</v>
      </c>
      <c r="U178" s="42">
        <v>4</v>
      </c>
      <c r="V178" s="42">
        <v>6</v>
      </c>
      <c r="W178" s="42">
        <v>5</v>
      </c>
      <c r="X178" s="26">
        <f t="shared" si="10"/>
        <v>26</v>
      </c>
      <c r="Y178" s="26">
        <v>13</v>
      </c>
      <c r="Z178" s="51">
        <v>7</v>
      </c>
      <c r="AA178" s="51">
        <v>4</v>
      </c>
      <c r="AB178" s="51">
        <v>4</v>
      </c>
      <c r="AC178" s="26">
        <f t="shared" si="11"/>
        <v>15</v>
      </c>
      <c r="AD178" s="25">
        <v>5</v>
      </c>
      <c r="AE178" s="93">
        <f t="shared" si="12"/>
        <v>59</v>
      </c>
      <c r="AF178" s="101">
        <f t="shared" si="13"/>
        <v>23.916666666666664</v>
      </c>
    </row>
    <row r="179" spans="2:32" ht="15.6" x14ac:dyDescent="0.3">
      <c r="B179" s="8">
        <v>165</v>
      </c>
      <c r="C179" s="48" t="s">
        <v>203</v>
      </c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2">
        <v>4</v>
      </c>
      <c r="T179" s="42">
        <v>5</v>
      </c>
      <c r="U179" s="42">
        <v>5</v>
      </c>
      <c r="V179" s="42">
        <v>5</v>
      </c>
      <c r="W179" s="42">
        <v>5</v>
      </c>
      <c r="X179" s="26">
        <f t="shared" si="10"/>
        <v>24</v>
      </c>
      <c r="Y179" s="26">
        <v>13</v>
      </c>
      <c r="Z179" s="51">
        <v>7</v>
      </c>
      <c r="AA179" s="51">
        <v>5</v>
      </c>
      <c r="AB179" s="51">
        <v>3</v>
      </c>
      <c r="AC179" s="26">
        <f t="shared" si="11"/>
        <v>15</v>
      </c>
      <c r="AD179" s="25">
        <v>5</v>
      </c>
      <c r="AE179" s="93">
        <f t="shared" si="12"/>
        <v>57</v>
      </c>
      <c r="AF179" s="101">
        <f t="shared" si="13"/>
        <v>23.25</v>
      </c>
    </row>
    <row r="180" spans="2:32" ht="15.6" x14ac:dyDescent="0.3">
      <c r="B180" s="8">
        <v>166</v>
      </c>
      <c r="C180" s="48" t="s">
        <v>204</v>
      </c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2">
        <v>5</v>
      </c>
      <c r="T180" s="42">
        <v>6</v>
      </c>
      <c r="U180" s="42">
        <v>5</v>
      </c>
      <c r="V180" s="42">
        <v>5</v>
      </c>
      <c r="W180" s="42">
        <v>5</v>
      </c>
      <c r="X180" s="26">
        <f t="shared" si="10"/>
        <v>26</v>
      </c>
      <c r="Y180" s="26">
        <v>14</v>
      </c>
      <c r="Z180" s="51">
        <v>7</v>
      </c>
      <c r="AA180" s="51">
        <v>6</v>
      </c>
      <c r="AB180" s="51">
        <v>4</v>
      </c>
      <c r="AC180" s="26">
        <f t="shared" si="11"/>
        <v>17</v>
      </c>
      <c r="AD180" s="25">
        <v>5</v>
      </c>
      <c r="AE180" s="93">
        <f t="shared" si="12"/>
        <v>62</v>
      </c>
      <c r="AF180" s="101">
        <f t="shared" si="13"/>
        <v>24.916666666666664</v>
      </c>
    </row>
    <row r="181" spans="2:32" ht="15.6" x14ac:dyDescent="0.3">
      <c r="B181" s="8">
        <v>167</v>
      </c>
      <c r="C181" s="48" t="s">
        <v>205</v>
      </c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2">
        <v>6</v>
      </c>
      <c r="T181" s="42">
        <v>6</v>
      </c>
      <c r="U181" s="42">
        <v>5</v>
      </c>
      <c r="V181" s="42">
        <v>6</v>
      </c>
      <c r="W181" s="42">
        <v>6</v>
      </c>
      <c r="X181" s="26">
        <f t="shared" si="10"/>
        <v>29</v>
      </c>
      <c r="Y181" s="26">
        <v>18</v>
      </c>
      <c r="Z181" s="51">
        <v>7</v>
      </c>
      <c r="AA181" s="51">
        <v>6</v>
      </c>
      <c r="AB181" s="51">
        <v>2</v>
      </c>
      <c r="AC181" s="26">
        <f t="shared" si="11"/>
        <v>15</v>
      </c>
      <c r="AD181" s="25">
        <v>5</v>
      </c>
      <c r="AE181" s="93">
        <f t="shared" si="12"/>
        <v>67</v>
      </c>
      <c r="AF181" s="101">
        <f t="shared" si="13"/>
        <v>27.416666666666664</v>
      </c>
    </row>
    <row r="182" spans="2:32" ht="15.6" x14ac:dyDescent="0.3">
      <c r="B182" s="8">
        <v>168</v>
      </c>
      <c r="C182" s="48" t="s">
        <v>206</v>
      </c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2">
        <v>6</v>
      </c>
      <c r="T182" s="42">
        <v>6</v>
      </c>
      <c r="U182" s="42">
        <v>6</v>
      </c>
      <c r="V182" s="42">
        <v>6</v>
      </c>
      <c r="W182" s="42">
        <v>3</v>
      </c>
      <c r="X182" s="26">
        <f t="shared" si="10"/>
        <v>27</v>
      </c>
      <c r="Y182" s="26">
        <v>12</v>
      </c>
      <c r="Z182" s="51">
        <v>7</v>
      </c>
      <c r="AA182" s="51">
        <v>5</v>
      </c>
      <c r="AB182" s="51">
        <v>2</v>
      </c>
      <c r="AC182" s="26">
        <f t="shared" si="11"/>
        <v>14</v>
      </c>
      <c r="AD182" s="25">
        <v>5</v>
      </c>
      <c r="AE182" s="93">
        <f t="shared" si="12"/>
        <v>58</v>
      </c>
      <c r="AF182" s="101">
        <f t="shared" si="13"/>
        <v>23.5</v>
      </c>
    </row>
    <row r="183" spans="2:32" ht="15.6" x14ac:dyDescent="0.3">
      <c r="B183" s="8">
        <v>169</v>
      </c>
      <c r="C183" s="48" t="s">
        <v>207</v>
      </c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2">
        <v>4</v>
      </c>
      <c r="T183" s="42">
        <v>5</v>
      </c>
      <c r="U183" s="42">
        <v>4</v>
      </c>
      <c r="V183" s="42">
        <v>5</v>
      </c>
      <c r="W183" s="42">
        <v>3</v>
      </c>
      <c r="X183" s="26">
        <f t="shared" si="10"/>
        <v>21</v>
      </c>
      <c r="Y183" s="26">
        <v>13</v>
      </c>
      <c r="Z183" s="51">
        <v>6</v>
      </c>
      <c r="AA183" s="51">
        <v>6</v>
      </c>
      <c r="AB183" s="51">
        <v>4</v>
      </c>
      <c r="AC183" s="26">
        <f t="shared" si="11"/>
        <v>16</v>
      </c>
      <c r="AD183" s="25">
        <v>5</v>
      </c>
      <c r="AE183" s="93">
        <f t="shared" si="12"/>
        <v>55</v>
      </c>
      <c r="AF183" s="101">
        <f t="shared" si="13"/>
        <v>22.5</v>
      </c>
    </row>
    <row r="184" spans="2:32" ht="15.6" x14ac:dyDescent="0.3">
      <c r="B184" s="8">
        <v>170</v>
      </c>
      <c r="C184" s="48" t="s">
        <v>208</v>
      </c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2">
        <v>5</v>
      </c>
      <c r="T184" s="42">
        <v>6</v>
      </c>
      <c r="U184" s="42">
        <v>5</v>
      </c>
      <c r="V184" s="42">
        <v>6</v>
      </c>
      <c r="W184" s="42">
        <v>5</v>
      </c>
      <c r="X184" s="26">
        <f t="shared" si="10"/>
        <v>27</v>
      </c>
      <c r="Y184" s="26">
        <v>11</v>
      </c>
      <c r="Z184" s="51">
        <v>7</v>
      </c>
      <c r="AA184" s="51">
        <v>7</v>
      </c>
      <c r="AB184" s="51">
        <v>4</v>
      </c>
      <c r="AC184" s="26">
        <f t="shared" si="11"/>
        <v>18</v>
      </c>
      <c r="AD184" s="25">
        <v>5</v>
      </c>
      <c r="AE184" s="93">
        <f t="shared" si="12"/>
        <v>61</v>
      </c>
      <c r="AF184" s="101">
        <f t="shared" si="13"/>
        <v>24</v>
      </c>
    </row>
    <row r="185" spans="2:32" ht="15.6" x14ac:dyDescent="0.3">
      <c r="B185" s="8">
        <v>171</v>
      </c>
      <c r="C185" s="48" t="s">
        <v>209</v>
      </c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2"/>
      <c r="T185" s="42"/>
      <c r="U185" s="42"/>
      <c r="V185" s="42"/>
      <c r="W185" s="42"/>
      <c r="X185" s="26">
        <f t="shared" si="10"/>
        <v>0</v>
      </c>
      <c r="Y185" s="26">
        <v>0</v>
      </c>
      <c r="Z185" s="51"/>
      <c r="AA185" s="51"/>
      <c r="AB185" s="51"/>
      <c r="AC185" s="26">
        <f t="shared" si="11"/>
        <v>0</v>
      </c>
      <c r="AD185" s="25">
        <v>5</v>
      </c>
      <c r="AE185" s="93">
        <f t="shared" si="12"/>
        <v>5</v>
      </c>
      <c r="AF185" s="101">
        <f t="shared" si="13"/>
        <v>5</v>
      </c>
    </row>
    <row r="186" spans="2:32" ht="15.6" x14ac:dyDescent="0.3">
      <c r="B186" s="8">
        <v>172</v>
      </c>
      <c r="C186" s="48" t="s">
        <v>210</v>
      </c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2">
        <v>6</v>
      </c>
      <c r="T186" s="42">
        <v>6</v>
      </c>
      <c r="U186" s="42">
        <v>5</v>
      </c>
      <c r="V186" s="42">
        <v>6</v>
      </c>
      <c r="W186" s="42">
        <v>3</v>
      </c>
      <c r="X186" s="26">
        <f t="shared" si="10"/>
        <v>26</v>
      </c>
      <c r="Y186" s="26">
        <v>8</v>
      </c>
      <c r="Z186" s="51">
        <v>3</v>
      </c>
      <c r="AA186" s="51">
        <v>5</v>
      </c>
      <c r="AB186" s="51">
        <v>3</v>
      </c>
      <c r="AC186" s="26">
        <f t="shared" si="11"/>
        <v>11</v>
      </c>
      <c r="AD186" s="25">
        <v>5</v>
      </c>
      <c r="AE186" s="93">
        <f t="shared" si="12"/>
        <v>50</v>
      </c>
      <c r="AF186" s="101">
        <f t="shared" si="13"/>
        <v>20.416666666666664</v>
      </c>
    </row>
    <row r="187" spans="2:32" ht="15.6" x14ac:dyDescent="0.3">
      <c r="B187" s="8">
        <v>173</v>
      </c>
      <c r="C187" s="48" t="s">
        <v>211</v>
      </c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2">
        <v>4</v>
      </c>
      <c r="T187" s="42">
        <v>4</v>
      </c>
      <c r="U187" s="42">
        <v>4</v>
      </c>
      <c r="V187" s="42">
        <v>4</v>
      </c>
      <c r="W187" s="42">
        <v>3</v>
      </c>
      <c r="X187" s="26">
        <f t="shared" si="10"/>
        <v>19</v>
      </c>
      <c r="Y187" s="26">
        <v>11</v>
      </c>
      <c r="Z187" s="51">
        <v>3</v>
      </c>
      <c r="AA187" s="51">
        <v>1</v>
      </c>
      <c r="AB187" s="51">
        <v>4</v>
      </c>
      <c r="AC187" s="26">
        <f t="shared" si="11"/>
        <v>8</v>
      </c>
      <c r="AD187" s="25">
        <v>5</v>
      </c>
      <c r="AE187" s="93">
        <f t="shared" si="12"/>
        <v>43</v>
      </c>
      <c r="AF187" s="101">
        <f t="shared" si="13"/>
        <v>18.833333333333332</v>
      </c>
    </row>
    <row r="188" spans="2:32" ht="15.6" x14ac:dyDescent="0.3">
      <c r="B188" s="8">
        <v>174</v>
      </c>
      <c r="C188" s="48" t="s">
        <v>212</v>
      </c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2">
        <v>5</v>
      </c>
      <c r="T188" s="42">
        <v>5</v>
      </c>
      <c r="U188" s="42">
        <v>3</v>
      </c>
      <c r="V188" s="42">
        <v>3</v>
      </c>
      <c r="W188" s="42">
        <v>3</v>
      </c>
      <c r="X188" s="26">
        <f t="shared" si="10"/>
        <v>19</v>
      </c>
      <c r="Y188" s="26">
        <v>16</v>
      </c>
      <c r="Z188" s="51">
        <v>1</v>
      </c>
      <c r="AA188" s="51"/>
      <c r="AB188" s="51">
        <v>4</v>
      </c>
      <c r="AC188" s="26">
        <f t="shared" si="11"/>
        <v>5</v>
      </c>
      <c r="AD188" s="25">
        <v>5</v>
      </c>
      <c r="AE188" s="93">
        <f t="shared" si="12"/>
        <v>45</v>
      </c>
      <c r="AF188" s="101">
        <f t="shared" si="13"/>
        <v>20.583333333333332</v>
      </c>
    </row>
    <row r="189" spans="2:32" ht="15.6" x14ac:dyDescent="0.3">
      <c r="B189" s="8">
        <v>175</v>
      </c>
      <c r="C189" s="48" t="s">
        <v>213</v>
      </c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2">
        <v>5</v>
      </c>
      <c r="T189" s="42">
        <v>5</v>
      </c>
      <c r="U189" s="42">
        <v>5</v>
      </c>
      <c r="V189" s="42">
        <v>5</v>
      </c>
      <c r="W189" s="42">
        <v>5</v>
      </c>
      <c r="X189" s="26">
        <f t="shared" si="10"/>
        <v>25</v>
      </c>
      <c r="Y189" s="26">
        <v>8</v>
      </c>
      <c r="Z189" s="51">
        <v>7</v>
      </c>
      <c r="AA189" s="51">
        <v>2</v>
      </c>
      <c r="AB189" s="51">
        <v>4</v>
      </c>
      <c r="AC189" s="26">
        <f t="shared" si="11"/>
        <v>13</v>
      </c>
      <c r="AD189" s="25">
        <v>5</v>
      </c>
      <c r="AE189" s="93">
        <f t="shared" si="12"/>
        <v>51</v>
      </c>
      <c r="AF189" s="101">
        <f t="shared" si="13"/>
        <v>20.583333333333336</v>
      </c>
    </row>
    <row r="190" spans="2:32" ht="15.6" x14ac:dyDescent="0.3">
      <c r="B190" s="8">
        <v>176</v>
      </c>
      <c r="C190" s="48" t="s">
        <v>214</v>
      </c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2">
        <v>4</v>
      </c>
      <c r="T190" s="42">
        <v>4</v>
      </c>
      <c r="U190" s="42">
        <v>4</v>
      </c>
      <c r="V190" s="42">
        <v>4</v>
      </c>
      <c r="W190" s="42">
        <v>4</v>
      </c>
      <c r="X190" s="26">
        <f t="shared" si="10"/>
        <v>20</v>
      </c>
      <c r="Y190" s="26">
        <v>17</v>
      </c>
      <c r="Z190" s="51">
        <v>4</v>
      </c>
      <c r="AA190" s="51">
        <v>1</v>
      </c>
      <c r="AB190" s="51">
        <v>4</v>
      </c>
      <c r="AC190" s="26">
        <f t="shared" si="11"/>
        <v>9</v>
      </c>
      <c r="AD190" s="25">
        <v>5</v>
      </c>
      <c r="AE190" s="93">
        <f t="shared" si="12"/>
        <v>51</v>
      </c>
      <c r="AF190" s="101">
        <f t="shared" si="13"/>
        <v>22.416666666666668</v>
      </c>
    </row>
    <row r="191" spans="2:32" ht="15.6" x14ac:dyDescent="0.3">
      <c r="B191" s="8">
        <v>177</v>
      </c>
      <c r="C191" s="48" t="s">
        <v>215</v>
      </c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2">
        <v>4</v>
      </c>
      <c r="T191" s="42">
        <v>5</v>
      </c>
      <c r="U191" s="42">
        <v>3</v>
      </c>
      <c r="V191" s="42">
        <v>2</v>
      </c>
      <c r="W191" s="42">
        <v>1</v>
      </c>
      <c r="X191" s="26">
        <f t="shared" si="10"/>
        <v>15</v>
      </c>
      <c r="Y191" s="26">
        <v>7</v>
      </c>
      <c r="Z191" s="51">
        <v>6</v>
      </c>
      <c r="AA191" s="51">
        <v>4</v>
      </c>
      <c r="AB191" s="51">
        <v>2</v>
      </c>
      <c r="AC191" s="26">
        <f t="shared" si="11"/>
        <v>12</v>
      </c>
      <c r="AD191" s="25">
        <v>5</v>
      </c>
      <c r="AE191" s="93">
        <f t="shared" si="12"/>
        <v>39</v>
      </c>
      <c r="AF191" s="101">
        <f t="shared" si="13"/>
        <v>16.5</v>
      </c>
    </row>
    <row r="192" spans="2:32" ht="15.6" x14ac:dyDescent="0.3">
      <c r="B192" s="8">
        <v>178</v>
      </c>
      <c r="C192" s="48" t="s">
        <v>216</v>
      </c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2">
        <v>5</v>
      </c>
      <c r="T192" s="42">
        <v>5</v>
      </c>
      <c r="U192" s="42">
        <v>5</v>
      </c>
      <c r="V192" s="42">
        <v>4</v>
      </c>
      <c r="W192" s="42">
        <v>4</v>
      </c>
      <c r="X192" s="26">
        <f t="shared" si="10"/>
        <v>23</v>
      </c>
      <c r="Y192" s="26">
        <v>8</v>
      </c>
      <c r="Z192" s="51">
        <v>6</v>
      </c>
      <c r="AA192" s="51">
        <v>6</v>
      </c>
      <c r="AB192" s="51">
        <v>2</v>
      </c>
      <c r="AC192" s="26">
        <f t="shared" si="11"/>
        <v>14</v>
      </c>
      <c r="AD192" s="25">
        <v>5</v>
      </c>
      <c r="AE192" s="93">
        <f t="shared" si="12"/>
        <v>50</v>
      </c>
      <c r="AF192" s="101">
        <f t="shared" si="13"/>
        <v>20.166666666666668</v>
      </c>
    </row>
    <row r="193" spans="2:32" ht="15.6" x14ac:dyDescent="0.3">
      <c r="B193" s="8">
        <v>179</v>
      </c>
      <c r="C193" s="48" t="s">
        <v>217</v>
      </c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2">
        <v>4</v>
      </c>
      <c r="T193" s="42">
        <v>4</v>
      </c>
      <c r="U193" s="42">
        <v>4</v>
      </c>
      <c r="V193" s="42">
        <v>4</v>
      </c>
      <c r="W193" s="42">
        <v>4</v>
      </c>
      <c r="X193" s="26">
        <f t="shared" si="10"/>
        <v>20</v>
      </c>
      <c r="Y193" s="26">
        <v>18</v>
      </c>
      <c r="Z193" s="51">
        <v>7</v>
      </c>
      <c r="AA193" s="51">
        <v>4</v>
      </c>
      <c r="AB193" s="51">
        <v>1</v>
      </c>
      <c r="AC193" s="26">
        <f t="shared" si="11"/>
        <v>12</v>
      </c>
      <c r="AD193" s="25">
        <v>5</v>
      </c>
      <c r="AE193" s="93">
        <f t="shared" si="12"/>
        <v>55</v>
      </c>
      <c r="AF193" s="101">
        <f t="shared" si="13"/>
        <v>23.666666666666668</v>
      </c>
    </row>
    <row r="194" spans="2:32" ht="15.6" x14ac:dyDescent="0.3">
      <c r="B194" s="8">
        <v>180</v>
      </c>
      <c r="C194" s="48" t="s">
        <v>218</v>
      </c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2">
        <v>4</v>
      </c>
      <c r="T194" s="42">
        <v>4</v>
      </c>
      <c r="U194" s="42">
        <v>3</v>
      </c>
      <c r="V194" s="42">
        <v>3</v>
      </c>
      <c r="W194" s="42">
        <v>3</v>
      </c>
      <c r="X194" s="26">
        <f t="shared" si="10"/>
        <v>17</v>
      </c>
      <c r="Y194" s="26">
        <v>19</v>
      </c>
      <c r="Z194" s="51">
        <v>4</v>
      </c>
      <c r="AA194" s="51">
        <v>1</v>
      </c>
      <c r="AB194" s="51">
        <v>4</v>
      </c>
      <c r="AC194" s="26">
        <f t="shared" si="11"/>
        <v>9</v>
      </c>
      <c r="AD194" s="25">
        <v>5</v>
      </c>
      <c r="AE194" s="93">
        <f t="shared" si="12"/>
        <v>50</v>
      </c>
      <c r="AF194" s="101">
        <f t="shared" si="13"/>
        <v>22.416666666666668</v>
      </c>
    </row>
    <row r="195" spans="2:32" ht="15.6" x14ac:dyDescent="0.3">
      <c r="B195" s="8">
        <v>181</v>
      </c>
      <c r="C195" s="48" t="s">
        <v>219</v>
      </c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2">
        <v>3</v>
      </c>
      <c r="T195" s="42">
        <v>4</v>
      </c>
      <c r="U195" s="42">
        <v>4</v>
      </c>
      <c r="V195" s="42">
        <v>4</v>
      </c>
      <c r="W195" s="42">
        <v>2</v>
      </c>
      <c r="X195" s="26">
        <f t="shared" si="10"/>
        <v>17</v>
      </c>
      <c r="Y195" s="26">
        <v>14</v>
      </c>
      <c r="Z195" s="51">
        <v>6</v>
      </c>
      <c r="AA195" s="51">
        <v>2</v>
      </c>
      <c r="AB195" s="51">
        <v>0</v>
      </c>
      <c r="AC195" s="26">
        <f t="shared" si="11"/>
        <v>8</v>
      </c>
      <c r="AD195" s="25">
        <v>5</v>
      </c>
      <c r="AE195" s="93">
        <f t="shared" si="12"/>
        <v>44</v>
      </c>
      <c r="AF195" s="101">
        <f t="shared" si="13"/>
        <v>19.666666666666668</v>
      </c>
    </row>
    <row r="196" spans="2:32" x14ac:dyDescent="0.3">
      <c r="Z196" s="52"/>
      <c r="AA196" s="52"/>
      <c r="AB196" s="52"/>
      <c r="AD196" s="52"/>
    </row>
    <row r="197" spans="2:32" x14ac:dyDescent="0.3">
      <c r="Z197" s="52"/>
      <c r="AA197" s="52"/>
      <c r="AB197" s="52"/>
      <c r="AD197" s="52"/>
    </row>
    <row r="198" spans="2:32" x14ac:dyDescent="0.3">
      <c r="Z198" s="52"/>
      <c r="AA198" s="52"/>
      <c r="AB198" s="52"/>
      <c r="AD198" s="52"/>
    </row>
    <row r="199" spans="2:32" x14ac:dyDescent="0.3">
      <c r="Z199" s="52"/>
      <c r="AA199" s="52"/>
      <c r="AB199" s="52"/>
      <c r="AD199" s="52"/>
    </row>
    <row r="200" spans="2:32" x14ac:dyDescent="0.3">
      <c r="Z200" s="52"/>
      <c r="AA200" s="52"/>
      <c r="AB200" s="52"/>
      <c r="AD200" s="52"/>
    </row>
    <row r="201" spans="2:32" x14ac:dyDescent="0.3">
      <c r="Z201" s="52"/>
      <c r="AA201" s="52"/>
      <c r="AB201" s="52"/>
      <c r="AD201" s="52"/>
    </row>
    <row r="202" spans="2:32" x14ac:dyDescent="0.3">
      <c r="Z202" s="52"/>
      <c r="AA202" s="52"/>
      <c r="AB202" s="52"/>
      <c r="AD202" s="52"/>
    </row>
    <row r="203" spans="2:32" x14ac:dyDescent="0.3">
      <c r="Z203" s="52"/>
      <c r="AA203" s="52"/>
      <c r="AB203" s="52"/>
      <c r="AD203" s="52"/>
    </row>
    <row r="204" spans="2:32" x14ac:dyDescent="0.3">
      <c r="Z204" s="52"/>
      <c r="AA204" s="52"/>
      <c r="AB204" s="52"/>
      <c r="AD204" s="52"/>
    </row>
  </sheetData>
  <mergeCells count="32">
    <mergeCell ref="B7:AE7"/>
    <mergeCell ref="B8:Y8"/>
    <mergeCell ref="Z8:AE8"/>
    <mergeCell ref="B9:S9"/>
    <mergeCell ref="T9:V9"/>
    <mergeCell ref="W9:Y9"/>
    <mergeCell ref="Z9:AE9"/>
    <mergeCell ref="P11:P13"/>
    <mergeCell ref="D12:E12"/>
    <mergeCell ref="F12:G12"/>
    <mergeCell ref="H12:I12"/>
    <mergeCell ref="J12:J13"/>
    <mergeCell ref="B11:B14"/>
    <mergeCell ref="C11:C14"/>
    <mergeCell ref="D11:J11"/>
    <mergeCell ref="K11:K13"/>
    <mergeCell ref="L11:O12"/>
    <mergeCell ref="AI27:AM27"/>
    <mergeCell ref="Q11:Q13"/>
    <mergeCell ref="S11:X11"/>
    <mergeCell ref="Y11:Y13"/>
    <mergeCell ref="Z11:AC12"/>
    <mergeCell ref="AD11:AD13"/>
    <mergeCell ref="AE11:AE13"/>
    <mergeCell ref="S12:T12"/>
    <mergeCell ref="U12:V12"/>
    <mergeCell ref="X12:X13"/>
    <mergeCell ref="AH18:AM18"/>
    <mergeCell ref="AH19:AI19"/>
    <mergeCell ref="AH20:AH21"/>
    <mergeCell ref="AH22:AH23"/>
    <mergeCell ref="AH24:AH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DC7F9-7C40-460E-AE1B-EE618E71B31C}">
  <dimension ref="B6:AQ204"/>
  <sheetViews>
    <sheetView zoomScaleNormal="100" workbookViewId="0">
      <selection activeCell="Z9" sqref="Z9:AH9"/>
    </sheetView>
  </sheetViews>
  <sheetFormatPr defaultRowHeight="14.4" x14ac:dyDescent="0.3"/>
  <cols>
    <col min="3" max="3" width="14.44140625" bestFit="1" customWidth="1"/>
    <col min="4" max="4" width="0.109375" customWidth="1"/>
    <col min="5" max="9" width="8.88671875" hidden="1" customWidth="1"/>
    <col min="10" max="10" width="17.33203125" hidden="1" customWidth="1"/>
    <col min="11" max="11" width="14.5546875" hidden="1" customWidth="1"/>
    <col min="12" max="14" width="8.88671875" hidden="1" customWidth="1"/>
    <col min="15" max="15" width="15" hidden="1" customWidth="1"/>
    <col min="16" max="16" width="12.109375" hidden="1" customWidth="1"/>
    <col min="17" max="18" width="8.88671875" hidden="1" customWidth="1"/>
    <col min="24" max="24" width="17.33203125" bestFit="1" customWidth="1"/>
    <col min="25" max="25" width="14.5546875" bestFit="1" customWidth="1"/>
    <col min="32" max="32" width="15.5546875" customWidth="1"/>
    <col min="33" max="33" width="12.109375" bestFit="1" customWidth="1"/>
  </cols>
  <sheetData>
    <row r="6" spans="2:43" ht="36" customHeight="1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 t="s">
        <v>220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2:43" ht="32.4" customHeight="1" x14ac:dyDescent="0.3">
      <c r="B7" s="154" t="s">
        <v>0</v>
      </c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155"/>
      <c r="AG7" s="155"/>
      <c r="AH7" s="155"/>
      <c r="AI7" s="1"/>
      <c r="AJ7" s="1"/>
      <c r="AK7" s="1"/>
      <c r="AL7" s="1"/>
      <c r="AM7" s="1"/>
      <c r="AN7" s="1"/>
      <c r="AO7" s="1"/>
      <c r="AP7" s="1"/>
      <c r="AQ7" s="1"/>
    </row>
    <row r="8" spans="2:43" ht="22.2" customHeight="1" x14ac:dyDescent="0.3">
      <c r="B8" s="156" t="s">
        <v>1</v>
      </c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 t="s">
        <v>236</v>
      </c>
      <c r="AA8" s="156"/>
      <c r="AB8" s="156"/>
      <c r="AC8" s="156"/>
      <c r="AD8" s="156"/>
      <c r="AE8" s="156"/>
      <c r="AF8" s="156"/>
      <c r="AG8" s="156"/>
      <c r="AH8" s="156"/>
      <c r="AI8" s="1"/>
      <c r="AJ8" s="1"/>
      <c r="AK8" s="1"/>
      <c r="AL8" s="1"/>
      <c r="AM8" s="1"/>
      <c r="AN8" s="1"/>
      <c r="AO8" s="1"/>
      <c r="AP8" s="1"/>
      <c r="AQ8" s="1"/>
    </row>
    <row r="9" spans="2:43" ht="22.2" customHeight="1" x14ac:dyDescent="0.3">
      <c r="B9" s="157" t="s">
        <v>3</v>
      </c>
      <c r="C9" s="158"/>
      <c r="D9" s="158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  <c r="R9" s="158"/>
      <c r="S9" s="159"/>
      <c r="T9" s="157" t="s">
        <v>4</v>
      </c>
      <c r="U9" s="158"/>
      <c r="V9" s="159"/>
      <c r="W9" s="160" t="s">
        <v>5</v>
      </c>
      <c r="X9" s="161"/>
      <c r="Y9" s="162"/>
      <c r="Z9" s="157" t="s">
        <v>6</v>
      </c>
      <c r="AA9" s="158"/>
      <c r="AB9" s="158"/>
      <c r="AC9" s="158"/>
      <c r="AD9" s="158"/>
      <c r="AE9" s="158"/>
      <c r="AF9" s="158"/>
      <c r="AG9" s="158"/>
      <c r="AH9" s="159"/>
      <c r="AI9" s="1"/>
      <c r="AJ9" s="1"/>
      <c r="AK9" s="1"/>
      <c r="AL9" s="1"/>
      <c r="AM9" s="1"/>
      <c r="AN9" s="1"/>
      <c r="AO9" s="1"/>
      <c r="AP9" s="1"/>
      <c r="AQ9" s="1"/>
    </row>
    <row r="10" spans="2:43" x14ac:dyDescent="0.3"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1"/>
      <c r="Q10" s="1" t="s">
        <v>220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2:43" ht="15.6" x14ac:dyDescent="0.3">
      <c r="B11" s="174" t="s">
        <v>7</v>
      </c>
      <c r="C11" s="174" t="s">
        <v>8</v>
      </c>
      <c r="D11" s="175" t="s">
        <v>9</v>
      </c>
      <c r="E11" s="175"/>
      <c r="F11" s="175"/>
      <c r="G11" s="175"/>
      <c r="H11" s="175"/>
      <c r="I11" s="175"/>
      <c r="J11" s="175"/>
      <c r="K11" s="172" t="s">
        <v>222</v>
      </c>
      <c r="L11" s="175" t="s">
        <v>223</v>
      </c>
      <c r="M11" s="175"/>
      <c r="N11" s="175"/>
      <c r="O11" s="175"/>
      <c r="P11" s="172" t="s">
        <v>224</v>
      </c>
      <c r="Q11" s="172" t="s">
        <v>225</v>
      </c>
      <c r="R11" s="6"/>
      <c r="S11" s="175" t="s">
        <v>10</v>
      </c>
      <c r="T11" s="175"/>
      <c r="U11" s="175"/>
      <c r="V11" s="175"/>
      <c r="W11" s="175"/>
      <c r="X11" s="175"/>
      <c r="Y11" s="172" t="s">
        <v>11</v>
      </c>
      <c r="Z11" s="175" t="s">
        <v>12</v>
      </c>
      <c r="AA11" s="175"/>
      <c r="AB11" s="175"/>
      <c r="AC11" s="175"/>
      <c r="AD11" s="175"/>
      <c r="AE11" s="175"/>
      <c r="AF11" s="175"/>
      <c r="AG11" s="172" t="s">
        <v>13</v>
      </c>
      <c r="AH11" s="172" t="s">
        <v>14</v>
      </c>
      <c r="AI11" s="1"/>
      <c r="AJ11" s="1"/>
      <c r="AK11" s="1"/>
      <c r="AL11" s="1"/>
      <c r="AM11" s="1"/>
      <c r="AN11" s="1"/>
      <c r="AO11" s="1"/>
      <c r="AP11" s="1"/>
      <c r="AQ11" s="1"/>
    </row>
    <row r="12" spans="2:43" ht="15.6" x14ac:dyDescent="0.3">
      <c r="B12" s="174"/>
      <c r="C12" s="174"/>
      <c r="D12" s="173">
        <v>1</v>
      </c>
      <c r="E12" s="173"/>
      <c r="F12" s="173">
        <v>2</v>
      </c>
      <c r="G12" s="173"/>
      <c r="H12" s="173">
        <v>3</v>
      </c>
      <c r="I12" s="173"/>
      <c r="J12" s="172" t="s">
        <v>226</v>
      </c>
      <c r="K12" s="172"/>
      <c r="L12" s="175"/>
      <c r="M12" s="175"/>
      <c r="N12" s="175"/>
      <c r="O12" s="175"/>
      <c r="P12" s="172"/>
      <c r="Q12" s="172"/>
      <c r="R12" s="6"/>
      <c r="S12" s="176">
        <v>1</v>
      </c>
      <c r="T12" s="177"/>
      <c r="U12" s="176">
        <v>2</v>
      </c>
      <c r="V12" s="177"/>
      <c r="W12" s="106">
        <v>3</v>
      </c>
      <c r="X12" s="178" t="s">
        <v>15</v>
      </c>
      <c r="Y12" s="172"/>
      <c r="Z12" s="175"/>
      <c r="AA12" s="175"/>
      <c r="AB12" s="175"/>
      <c r="AC12" s="175"/>
      <c r="AD12" s="175"/>
      <c r="AE12" s="175"/>
      <c r="AF12" s="175"/>
      <c r="AG12" s="172"/>
      <c r="AH12" s="172"/>
      <c r="AI12" s="1"/>
      <c r="AJ12" s="1"/>
      <c r="AK12" s="1"/>
      <c r="AL12" s="1"/>
      <c r="AM12" s="1"/>
      <c r="AN12" s="1"/>
      <c r="AO12" s="1"/>
      <c r="AP12" s="1"/>
      <c r="AQ12" s="1"/>
    </row>
    <row r="13" spans="2:43" ht="31.2" x14ac:dyDescent="0.3">
      <c r="B13" s="174"/>
      <c r="C13" s="174"/>
      <c r="D13" s="106" t="s">
        <v>16</v>
      </c>
      <c r="E13" s="106" t="s">
        <v>44</v>
      </c>
      <c r="F13" s="106" t="s">
        <v>16</v>
      </c>
      <c r="G13" s="106" t="s">
        <v>44</v>
      </c>
      <c r="H13" s="106" t="s">
        <v>16</v>
      </c>
      <c r="I13" s="106" t="s">
        <v>44</v>
      </c>
      <c r="J13" s="172"/>
      <c r="K13" s="172"/>
      <c r="L13" s="106">
        <v>1</v>
      </c>
      <c r="M13" s="106">
        <v>2</v>
      </c>
      <c r="N13" s="106">
        <v>3</v>
      </c>
      <c r="O13" s="108" t="s">
        <v>23</v>
      </c>
      <c r="P13" s="172"/>
      <c r="Q13" s="172"/>
      <c r="R13" s="6"/>
      <c r="S13" s="106" t="s">
        <v>17</v>
      </c>
      <c r="T13" s="106" t="s">
        <v>18</v>
      </c>
      <c r="U13" s="106" t="s">
        <v>17</v>
      </c>
      <c r="V13" s="106" t="s">
        <v>18</v>
      </c>
      <c r="W13" s="106" t="s">
        <v>17</v>
      </c>
      <c r="X13" s="178"/>
      <c r="Y13" s="172"/>
      <c r="Z13" s="106">
        <v>1</v>
      </c>
      <c r="AA13" s="106">
        <v>2</v>
      </c>
      <c r="AB13" s="106">
        <v>3</v>
      </c>
      <c r="AC13" s="106">
        <v>4</v>
      </c>
      <c r="AD13" s="106">
        <v>5</v>
      </c>
      <c r="AE13" s="106">
        <v>6</v>
      </c>
      <c r="AF13" s="108" t="s">
        <v>23</v>
      </c>
      <c r="AG13" s="172"/>
      <c r="AH13" s="172"/>
      <c r="AI13" s="1"/>
      <c r="AJ13" s="1"/>
      <c r="AK13" s="1"/>
      <c r="AL13" s="1"/>
      <c r="AM13" s="1"/>
      <c r="AN13" s="1"/>
      <c r="AO13" s="1"/>
      <c r="AP13" s="1"/>
      <c r="AQ13" s="1"/>
    </row>
    <row r="14" spans="2:43" ht="21.6" customHeight="1" x14ac:dyDescent="0.3">
      <c r="B14" s="174"/>
      <c r="C14" s="174"/>
      <c r="D14" s="106" t="s">
        <v>24</v>
      </c>
      <c r="E14" s="106" t="s">
        <v>24</v>
      </c>
      <c r="F14" s="106" t="s">
        <v>24</v>
      </c>
      <c r="G14" s="106" t="s">
        <v>227</v>
      </c>
      <c r="H14" s="106" t="s">
        <v>24</v>
      </c>
      <c r="I14" s="106" t="s">
        <v>228</v>
      </c>
      <c r="J14" s="107" t="s">
        <v>26</v>
      </c>
      <c r="K14" s="107" t="s">
        <v>27</v>
      </c>
      <c r="L14" s="106" t="s">
        <v>24</v>
      </c>
      <c r="M14" s="106" t="s">
        <v>24</v>
      </c>
      <c r="N14" s="106" t="s">
        <v>228</v>
      </c>
      <c r="O14" s="107" t="s">
        <v>27</v>
      </c>
      <c r="P14" s="107" t="s">
        <v>29</v>
      </c>
      <c r="Q14" s="107" t="s">
        <v>30</v>
      </c>
      <c r="R14" s="6"/>
      <c r="S14" s="106" t="s">
        <v>25</v>
      </c>
      <c r="T14" s="106" t="s">
        <v>25</v>
      </c>
      <c r="U14" s="106" t="s">
        <v>25</v>
      </c>
      <c r="V14" s="106" t="s">
        <v>25</v>
      </c>
      <c r="W14" s="106" t="s">
        <v>25</v>
      </c>
      <c r="X14" s="107" t="s">
        <v>26</v>
      </c>
      <c r="Y14" s="107" t="s">
        <v>27</v>
      </c>
      <c r="Z14" s="106" t="s">
        <v>24</v>
      </c>
      <c r="AA14" s="106" t="s">
        <v>24</v>
      </c>
      <c r="AB14" s="106"/>
      <c r="AC14" s="106"/>
      <c r="AD14" s="106"/>
      <c r="AE14" s="106" t="s">
        <v>228</v>
      </c>
      <c r="AF14" s="107" t="s">
        <v>27</v>
      </c>
      <c r="AG14" s="107" t="s">
        <v>29</v>
      </c>
      <c r="AH14" s="107" t="s">
        <v>30</v>
      </c>
      <c r="AI14" s="1"/>
      <c r="AJ14" s="1"/>
      <c r="AK14" s="1"/>
      <c r="AL14" s="1"/>
      <c r="AM14" s="1"/>
      <c r="AN14" s="1"/>
      <c r="AO14" s="1"/>
      <c r="AP14" s="1"/>
      <c r="AQ14" s="1"/>
    </row>
    <row r="15" spans="2:43" ht="19.2" customHeight="1" x14ac:dyDescent="0.3">
      <c r="B15" s="8">
        <v>1</v>
      </c>
      <c r="C15" s="9" t="s">
        <v>31</v>
      </c>
      <c r="D15" s="109"/>
      <c r="E15" s="110"/>
      <c r="F15" s="110"/>
      <c r="G15" s="110"/>
      <c r="H15" s="110"/>
      <c r="I15" s="111"/>
      <c r="J15" s="110">
        <f>SUM(D15:I15)</f>
        <v>0</v>
      </c>
      <c r="K15" s="112"/>
      <c r="L15" s="110"/>
      <c r="M15" s="110"/>
      <c r="N15" s="110"/>
      <c r="O15" s="110">
        <f>SUM(L15:N15)</f>
        <v>0</v>
      </c>
      <c r="P15" s="110"/>
      <c r="Q15" s="113"/>
      <c r="R15" s="14"/>
      <c r="S15" s="131">
        <v>6</v>
      </c>
      <c r="T15" s="132">
        <v>6</v>
      </c>
      <c r="U15" s="132">
        <v>8</v>
      </c>
      <c r="V15" s="132">
        <v>4</v>
      </c>
      <c r="W15" s="132">
        <v>6</v>
      </c>
      <c r="X15" s="26">
        <v>30</v>
      </c>
      <c r="Y15" s="26">
        <v>17</v>
      </c>
      <c r="Z15" s="11">
        <v>3</v>
      </c>
      <c r="AA15" s="11">
        <v>2</v>
      </c>
      <c r="AB15" s="11">
        <v>3</v>
      </c>
      <c r="AC15" s="11">
        <v>3</v>
      </c>
      <c r="AD15" s="11">
        <v>0</v>
      </c>
      <c r="AE15" s="11">
        <v>2</v>
      </c>
      <c r="AF15" s="26">
        <v>13</v>
      </c>
      <c r="AG15" s="26">
        <v>5</v>
      </c>
      <c r="AH15" s="28">
        <v>65</v>
      </c>
      <c r="AI15" s="1"/>
      <c r="AJ15" s="1"/>
      <c r="AK15" s="1"/>
      <c r="AL15" s="1"/>
      <c r="AM15" s="1"/>
      <c r="AN15" s="1"/>
      <c r="AO15" s="1"/>
      <c r="AP15" s="1"/>
      <c r="AQ15" s="1"/>
    </row>
    <row r="16" spans="2:43" ht="19.2" customHeight="1" x14ac:dyDescent="0.3">
      <c r="B16" s="8">
        <v>2</v>
      </c>
      <c r="C16" s="15" t="s">
        <v>32</v>
      </c>
      <c r="D16" s="109"/>
      <c r="E16" s="110"/>
      <c r="F16" s="110"/>
      <c r="G16" s="110"/>
      <c r="H16" s="110"/>
      <c r="I16" s="111"/>
      <c r="J16" s="110">
        <f t="shared" ref="J16:J72" si="0">SUM(D16:I16)</f>
        <v>0</v>
      </c>
      <c r="K16" s="112"/>
      <c r="L16" s="110"/>
      <c r="M16" s="110"/>
      <c r="N16" s="110"/>
      <c r="O16" s="110">
        <f t="shared" ref="O16:O72" si="1">SUM(L16:N16)</f>
        <v>0</v>
      </c>
      <c r="P16" s="110"/>
      <c r="Q16" s="113"/>
      <c r="R16" s="16"/>
      <c r="S16" s="133">
        <v>5</v>
      </c>
      <c r="T16" s="134">
        <v>5</v>
      </c>
      <c r="U16" s="134">
        <v>8</v>
      </c>
      <c r="V16" s="134">
        <v>4</v>
      </c>
      <c r="W16" s="134">
        <v>6</v>
      </c>
      <c r="X16" s="26">
        <v>28</v>
      </c>
      <c r="Y16" s="26">
        <v>12</v>
      </c>
      <c r="Z16" s="69">
        <v>3</v>
      </c>
      <c r="AA16" s="69">
        <v>3</v>
      </c>
      <c r="AB16" s="69">
        <v>3</v>
      </c>
      <c r="AC16" s="69">
        <v>3</v>
      </c>
      <c r="AD16" s="69">
        <v>0</v>
      </c>
      <c r="AE16" s="69">
        <v>2</v>
      </c>
      <c r="AF16" s="69">
        <v>14</v>
      </c>
      <c r="AG16" s="69">
        <v>0</v>
      </c>
      <c r="AH16" s="69">
        <v>54</v>
      </c>
      <c r="AI16" s="1"/>
      <c r="AJ16" s="1"/>
      <c r="AK16" s="1"/>
      <c r="AL16" s="1"/>
    </row>
    <row r="17" spans="2:43" ht="19.2" customHeight="1" x14ac:dyDescent="0.3">
      <c r="B17" s="8">
        <v>3</v>
      </c>
      <c r="C17" s="15" t="s">
        <v>33</v>
      </c>
      <c r="D17" s="109"/>
      <c r="E17" s="110"/>
      <c r="F17" s="110"/>
      <c r="G17" s="114"/>
      <c r="H17" s="110"/>
      <c r="I17" s="111"/>
      <c r="J17" s="110">
        <f t="shared" si="0"/>
        <v>0</v>
      </c>
      <c r="K17" s="112"/>
      <c r="L17" s="110"/>
      <c r="M17" s="110"/>
      <c r="N17" s="110"/>
      <c r="O17" s="110">
        <f t="shared" si="1"/>
        <v>0</v>
      </c>
      <c r="P17" s="110"/>
      <c r="Q17" s="113"/>
      <c r="R17" s="16"/>
      <c r="S17" s="133">
        <v>6</v>
      </c>
      <c r="T17" s="134">
        <v>6</v>
      </c>
      <c r="U17" s="134">
        <v>8</v>
      </c>
      <c r="V17" s="134">
        <v>4</v>
      </c>
      <c r="W17" s="134">
        <v>6</v>
      </c>
      <c r="X17" s="26">
        <v>30</v>
      </c>
      <c r="Y17" s="26">
        <v>15</v>
      </c>
      <c r="Z17" s="11">
        <v>3</v>
      </c>
      <c r="AA17" s="11">
        <v>3</v>
      </c>
      <c r="AB17" s="11">
        <v>4</v>
      </c>
      <c r="AC17" s="11">
        <v>4</v>
      </c>
      <c r="AD17" s="11">
        <v>2</v>
      </c>
      <c r="AE17" s="11">
        <v>1</v>
      </c>
      <c r="AF17" s="26">
        <v>17</v>
      </c>
      <c r="AG17" s="26">
        <v>5</v>
      </c>
      <c r="AH17" s="28">
        <v>67</v>
      </c>
      <c r="AI17" s="1"/>
      <c r="AJ17" s="1"/>
      <c r="AK17" s="1"/>
      <c r="AL17" s="1"/>
    </row>
    <row r="18" spans="2:43" ht="19.2" customHeight="1" x14ac:dyDescent="0.3">
      <c r="B18" s="8">
        <v>4</v>
      </c>
      <c r="C18" s="15" t="s">
        <v>34</v>
      </c>
      <c r="D18" s="109"/>
      <c r="E18" s="110"/>
      <c r="F18" s="110"/>
      <c r="G18" s="114"/>
      <c r="H18" s="114"/>
      <c r="I18" s="111"/>
      <c r="J18" s="110">
        <f t="shared" si="0"/>
        <v>0</v>
      </c>
      <c r="K18" s="112"/>
      <c r="L18" s="110"/>
      <c r="M18" s="110"/>
      <c r="N18" s="110"/>
      <c r="O18" s="110">
        <f t="shared" si="1"/>
        <v>0</v>
      </c>
      <c r="P18" s="110"/>
      <c r="Q18" s="113"/>
      <c r="R18" s="16"/>
      <c r="S18" s="133">
        <v>6</v>
      </c>
      <c r="T18" s="134">
        <v>6</v>
      </c>
      <c r="U18" s="134">
        <v>8</v>
      </c>
      <c r="V18" s="134">
        <v>4</v>
      </c>
      <c r="W18" s="134">
        <v>6</v>
      </c>
      <c r="X18" s="26">
        <v>30</v>
      </c>
      <c r="Y18" s="26">
        <v>14</v>
      </c>
      <c r="Z18" s="11">
        <v>4</v>
      </c>
      <c r="AA18" s="11">
        <v>4</v>
      </c>
      <c r="AB18" s="11">
        <v>4</v>
      </c>
      <c r="AC18" s="11">
        <v>4</v>
      </c>
      <c r="AD18" s="11">
        <v>1</v>
      </c>
      <c r="AE18" s="11">
        <v>2</v>
      </c>
      <c r="AF18" s="26">
        <v>19</v>
      </c>
      <c r="AG18" s="26">
        <v>5</v>
      </c>
      <c r="AH18" s="28">
        <v>68</v>
      </c>
      <c r="AI18" s="1"/>
      <c r="AJ18" s="1"/>
      <c r="AK18" s="1"/>
      <c r="AL18" s="167">
        <v>5</v>
      </c>
      <c r="AM18" s="167"/>
      <c r="AN18" s="167"/>
      <c r="AO18" s="167"/>
      <c r="AP18" s="167"/>
      <c r="AQ18" s="167"/>
    </row>
    <row r="19" spans="2:43" ht="19.2" customHeight="1" x14ac:dyDescent="0.3">
      <c r="B19" s="8">
        <v>5</v>
      </c>
      <c r="C19" s="15" t="s">
        <v>36</v>
      </c>
      <c r="D19" s="109"/>
      <c r="E19" s="110"/>
      <c r="F19" s="110"/>
      <c r="G19" s="114"/>
      <c r="H19" s="114"/>
      <c r="I19" s="111"/>
      <c r="J19" s="110">
        <f t="shared" si="0"/>
        <v>0</v>
      </c>
      <c r="K19" s="112"/>
      <c r="L19" s="110"/>
      <c r="M19" s="110"/>
      <c r="N19" s="110"/>
      <c r="O19" s="110">
        <f t="shared" si="1"/>
        <v>0</v>
      </c>
      <c r="P19" s="110"/>
      <c r="Q19" s="113"/>
      <c r="R19" s="16"/>
      <c r="S19" s="133">
        <v>5</v>
      </c>
      <c r="T19" s="134">
        <v>5</v>
      </c>
      <c r="U19" s="134">
        <v>8</v>
      </c>
      <c r="V19" s="134">
        <v>4</v>
      </c>
      <c r="W19" s="134">
        <v>6</v>
      </c>
      <c r="X19" s="26">
        <v>28</v>
      </c>
      <c r="Y19" s="26">
        <v>16</v>
      </c>
      <c r="Z19" s="11">
        <v>3</v>
      </c>
      <c r="AA19" s="11">
        <v>4</v>
      </c>
      <c r="AB19" s="11">
        <v>4</v>
      </c>
      <c r="AC19" s="11">
        <v>4</v>
      </c>
      <c r="AD19" s="11">
        <v>2</v>
      </c>
      <c r="AE19" s="11">
        <v>2</v>
      </c>
      <c r="AF19" s="26">
        <v>19</v>
      </c>
      <c r="AG19" s="26">
        <v>5</v>
      </c>
      <c r="AH19" s="28">
        <v>68</v>
      </c>
      <c r="AI19" s="1"/>
      <c r="AJ19" s="1"/>
      <c r="AK19" s="1"/>
      <c r="AL19" s="168">
        <v>5</v>
      </c>
      <c r="AM19" s="169"/>
      <c r="AN19" s="11" t="s">
        <v>38</v>
      </c>
      <c r="AO19" s="30" t="s">
        <v>39</v>
      </c>
      <c r="AP19" s="11" t="s">
        <v>40</v>
      </c>
      <c r="AQ19" s="20" t="s">
        <v>41</v>
      </c>
    </row>
    <row r="20" spans="2:43" ht="19.2" customHeight="1" x14ac:dyDescent="0.3">
      <c r="B20" s="8">
        <v>6</v>
      </c>
      <c r="C20" s="15" t="s">
        <v>42</v>
      </c>
      <c r="D20" s="109"/>
      <c r="E20" s="110"/>
      <c r="F20" s="110"/>
      <c r="G20" s="114"/>
      <c r="H20" s="114"/>
      <c r="I20" s="111"/>
      <c r="J20" s="110">
        <f t="shared" si="0"/>
        <v>0</v>
      </c>
      <c r="K20" s="112"/>
      <c r="L20" s="110"/>
      <c r="M20" s="110"/>
      <c r="N20" s="110"/>
      <c r="O20" s="110">
        <f t="shared" si="1"/>
        <v>0</v>
      </c>
      <c r="P20" s="110"/>
      <c r="Q20" s="113"/>
      <c r="R20" s="16"/>
      <c r="S20" s="133">
        <v>5</v>
      </c>
      <c r="T20" s="134">
        <v>5</v>
      </c>
      <c r="U20" s="134">
        <v>6</v>
      </c>
      <c r="V20" s="134">
        <v>4</v>
      </c>
      <c r="W20" s="134">
        <v>4</v>
      </c>
      <c r="X20" s="26">
        <v>24</v>
      </c>
      <c r="Y20" s="26">
        <v>17</v>
      </c>
      <c r="Z20" s="11">
        <v>3</v>
      </c>
      <c r="AA20" s="11">
        <v>3</v>
      </c>
      <c r="AB20" s="11">
        <v>4</v>
      </c>
      <c r="AC20" s="11">
        <v>4</v>
      </c>
      <c r="AD20" s="11">
        <v>2</v>
      </c>
      <c r="AE20" s="11">
        <v>2</v>
      </c>
      <c r="AF20" s="26">
        <v>18</v>
      </c>
      <c r="AG20" s="26">
        <v>0</v>
      </c>
      <c r="AH20" s="28">
        <v>59</v>
      </c>
      <c r="AI20" s="1"/>
      <c r="AJ20" s="1"/>
      <c r="AK20" s="1"/>
      <c r="AL20" s="170">
        <v>0</v>
      </c>
      <c r="AM20" s="10">
        <v>59</v>
      </c>
      <c r="AN20" s="13"/>
      <c r="AO20" s="31"/>
      <c r="AP20" s="10"/>
      <c r="AQ20" s="10"/>
    </row>
    <row r="21" spans="2:43" ht="19.2" customHeight="1" x14ac:dyDescent="0.3">
      <c r="B21" s="8">
        <v>7</v>
      </c>
      <c r="C21" s="15" t="s">
        <v>43</v>
      </c>
      <c r="D21" s="109"/>
      <c r="E21" s="110"/>
      <c r="F21" s="110"/>
      <c r="G21" s="110"/>
      <c r="H21" s="110"/>
      <c r="I21" s="111"/>
      <c r="J21" s="110">
        <f t="shared" si="0"/>
        <v>0</v>
      </c>
      <c r="K21" s="112"/>
      <c r="L21" s="110"/>
      <c r="M21" s="110"/>
      <c r="N21" s="110"/>
      <c r="O21" s="110">
        <f t="shared" si="1"/>
        <v>0</v>
      </c>
      <c r="P21" s="110"/>
      <c r="Q21" s="113"/>
      <c r="R21" s="16"/>
      <c r="S21" s="133">
        <v>6</v>
      </c>
      <c r="T21" s="134">
        <v>6</v>
      </c>
      <c r="U21" s="134">
        <v>8</v>
      </c>
      <c r="V21" s="134">
        <v>4</v>
      </c>
      <c r="W21" s="134">
        <v>6</v>
      </c>
      <c r="X21" s="26">
        <v>30</v>
      </c>
      <c r="Y21" s="26">
        <v>15</v>
      </c>
      <c r="Z21" s="11">
        <v>4</v>
      </c>
      <c r="AA21" s="11">
        <v>3</v>
      </c>
      <c r="AB21" s="11">
        <v>4</v>
      </c>
      <c r="AC21" s="11">
        <v>4</v>
      </c>
      <c r="AD21" s="11">
        <v>0</v>
      </c>
      <c r="AE21" s="11">
        <v>2</v>
      </c>
      <c r="AF21" s="26">
        <v>17</v>
      </c>
      <c r="AG21" s="26">
        <v>5</v>
      </c>
      <c r="AH21" s="28">
        <v>67</v>
      </c>
      <c r="AI21" s="1"/>
      <c r="AJ21" s="1"/>
      <c r="AK21" s="1"/>
      <c r="AL21" s="171"/>
      <c r="AM21" s="10">
        <v>67</v>
      </c>
      <c r="AN21" s="13"/>
      <c r="AO21" s="32"/>
      <c r="AP21" s="10"/>
      <c r="AQ21" s="10"/>
    </row>
    <row r="22" spans="2:43" ht="19.2" customHeight="1" x14ac:dyDescent="0.3">
      <c r="B22" s="8">
        <v>8</v>
      </c>
      <c r="C22" s="15" t="s">
        <v>45</v>
      </c>
      <c r="D22" s="109"/>
      <c r="E22" s="110"/>
      <c r="F22" s="110"/>
      <c r="G22" s="110"/>
      <c r="H22" s="110"/>
      <c r="I22" s="111"/>
      <c r="J22" s="110">
        <f t="shared" si="0"/>
        <v>0</v>
      </c>
      <c r="K22" s="112"/>
      <c r="L22" s="110"/>
      <c r="M22" s="110"/>
      <c r="N22" s="110"/>
      <c r="O22" s="110">
        <f t="shared" si="1"/>
        <v>0</v>
      </c>
      <c r="P22" s="110"/>
      <c r="Q22" s="113"/>
      <c r="R22" s="16"/>
      <c r="S22" s="133">
        <v>6</v>
      </c>
      <c r="T22" s="134">
        <v>6</v>
      </c>
      <c r="U22" s="134">
        <v>8</v>
      </c>
      <c r="V22" s="134">
        <v>4</v>
      </c>
      <c r="W22" s="134">
        <v>6</v>
      </c>
      <c r="X22" s="26">
        <v>30</v>
      </c>
      <c r="Y22" s="26">
        <v>18</v>
      </c>
      <c r="Z22" s="11">
        <v>4</v>
      </c>
      <c r="AA22" s="11">
        <v>4</v>
      </c>
      <c r="AB22" s="11">
        <v>4</v>
      </c>
      <c r="AC22" s="11">
        <v>3</v>
      </c>
      <c r="AD22" s="11">
        <v>0</v>
      </c>
      <c r="AE22" s="11">
        <v>2</v>
      </c>
      <c r="AF22" s="26">
        <v>17</v>
      </c>
      <c r="AG22" s="26">
        <v>5</v>
      </c>
      <c r="AH22" s="28">
        <v>70</v>
      </c>
      <c r="AI22" s="1"/>
      <c r="AJ22" s="1"/>
      <c r="AK22" s="1"/>
      <c r="AL22" s="170">
        <v>5</v>
      </c>
      <c r="AM22" s="10">
        <v>70</v>
      </c>
      <c r="AN22" s="13"/>
      <c r="AO22" s="32"/>
      <c r="AP22" s="10"/>
      <c r="AQ22" s="10"/>
    </row>
    <row r="23" spans="2:43" ht="19.2" customHeight="1" x14ac:dyDescent="0.3">
      <c r="B23" s="8">
        <v>9</v>
      </c>
      <c r="C23" s="15" t="s">
        <v>46</v>
      </c>
      <c r="D23" s="109"/>
      <c r="E23" s="110"/>
      <c r="F23" s="110"/>
      <c r="G23" s="110"/>
      <c r="H23" s="110"/>
      <c r="I23" s="111"/>
      <c r="J23" s="110">
        <f t="shared" si="0"/>
        <v>0</v>
      </c>
      <c r="K23" s="112"/>
      <c r="L23" s="110"/>
      <c r="M23" s="110"/>
      <c r="N23" s="110"/>
      <c r="O23" s="110">
        <f t="shared" si="1"/>
        <v>0</v>
      </c>
      <c r="P23" s="110"/>
      <c r="Q23" s="113"/>
      <c r="R23" s="16"/>
      <c r="S23" s="133">
        <v>6</v>
      </c>
      <c r="T23" s="134">
        <v>5</v>
      </c>
      <c r="U23" s="134">
        <v>8</v>
      </c>
      <c r="V23" s="134">
        <v>4</v>
      </c>
      <c r="W23" s="134">
        <v>4</v>
      </c>
      <c r="X23" s="26">
        <v>27</v>
      </c>
      <c r="Y23" s="26">
        <v>14</v>
      </c>
      <c r="Z23" s="11">
        <v>4</v>
      </c>
      <c r="AA23" s="11">
        <v>3</v>
      </c>
      <c r="AB23" s="11">
        <v>4</v>
      </c>
      <c r="AC23" s="11">
        <v>4</v>
      </c>
      <c r="AD23" s="11">
        <v>0</v>
      </c>
      <c r="AE23" s="11">
        <v>2</v>
      </c>
      <c r="AF23" s="26">
        <v>17</v>
      </c>
      <c r="AG23" s="26">
        <v>0</v>
      </c>
      <c r="AH23" s="28">
        <v>58</v>
      </c>
      <c r="AI23" s="1"/>
      <c r="AJ23" s="1"/>
      <c r="AK23" s="1"/>
      <c r="AL23" s="171"/>
      <c r="AM23" s="10">
        <v>58</v>
      </c>
      <c r="AN23" s="13"/>
      <c r="AO23" s="32"/>
      <c r="AP23" s="10"/>
      <c r="AQ23" s="10"/>
    </row>
    <row r="24" spans="2:43" ht="19.2" customHeight="1" x14ac:dyDescent="0.3">
      <c r="B24" s="8">
        <v>10</v>
      </c>
      <c r="C24" s="15" t="s">
        <v>47</v>
      </c>
      <c r="D24" s="109"/>
      <c r="E24" s="110"/>
      <c r="F24" s="110"/>
      <c r="G24" s="114"/>
      <c r="H24" s="110"/>
      <c r="I24" s="111"/>
      <c r="J24" s="110">
        <f t="shared" si="0"/>
        <v>0</v>
      </c>
      <c r="K24" s="112"/>
      <c r="L24" s="110"/>
      <c r="M24" s="110"/>
      <c r="N24" s="110"/>
      <c r="O24" s="110">
        <f t="shared" si="1"/>
        <v>0</v>
      </c>
      <c r="P24" s="110"/>
      <c r="Q24" s="113"/>
      <c r="R24" s="16"/>
      <c r="S24" s="133">
        <v>6</v>
      </c>
      <c r="T24" s="134">
        <v>6</v>
      </c>
      <c r="U24" s="134">
        <v>8</v>
      </c>
      <c r="V24" s="134">
        <v>3</v>
      </c>
      <c r="W24" s="134">
        <v>5</v>
      </c>
      <c r="X24" s="26">
        <v>28</v>
      </c>
      <c r="Y24" s="26">
        <v>15</v>
      </c>
      <c r="Z24" s="11">
        <v>4</v>
      </c>
      <c r="AA24" s="11">
        <v>3</v>
      </c>
      <c r="AB24" s="11">
        <v>4</v>
      </c>
      <c r="AC24" s="11">
        <v>4</v>
      </c>
      <c r="AD24" s="11">
        <v>0</v>
      </c>
      <c r="AE24" s="11">
        <v>2</v>
      </c>
      <c r="AF24" s="26">
        <v>17</v>
      </c>
      <c r="AG24" s="26">
        <v>5</v>
      </c>
      <c r="AH24" s="28">
        <v>65</v>
      </c>
      <c r="AI24" s="1"/>
      <c r="AJ24" s="1"/>
      <c r="AK24" s="1"/>
      <c r="AL24" s="170">
        <v>5</v>
      </c>
      <c r="AM24" s="10">
        <v>65</v>
      </c>
      <c r="AN24" s="13"/>
      <c r="AO24" s="32"/>
      <c r="AP24" s="10"/>
      <c r="AQ24" s="10"/>
    </row>
    <row r="25" spans="2:43" ht="19.2" customHeight="1" x14ac:dyDescent="0.3">
      <c r="B25" s="8">
        <v>11</v>
      </c>
      <c r="C25" s="15" t="s">
        <v>48</v>
      </c>
      <c r="D25" s="109"/>
      <c r="E25" s="110"/>
      <c r="F25" s="110"/>
      <c r="G25" s="110"/>
      <c r="H25" s="110"/>
      <c r="I25" s="111"/>
      <c r="J25" s="110">
        <f t="shared" si="0"/>
        <v>0</v>
      </c>
      <c r="K25" s="112"/>
      <c r="L25" s="110"/>
      <c r="M25" s="110"/>
      <c r="N25" s="110"/>
      <c r="O25" s="110">
        <f t="shared" si="1"/>
        <v>0</v>
      </c>
      <c r="P25" s="110"/>
      <c r="Q25" s="113"/>
      <c r="R25" s="16"/>
      <c r="S25" s="133">
        <v>6</v>
      </c>
      <c r="T25" s="134">
        <v>5</v>
      </c>
      <c r="U25" s="134">
        <v>8</v>
      </c>
      <c r="V25" s="134">
        <v>4</v>
      </c>
      <c r="W25" s="134">
        <v>6</v>
      </c>
      <c r="X25" s="26">
        <v>29</v>
      </c>
      <c r="Y25" s="26">
        <v>15</v>
      </c>
      <c r="Z25" s="11">
        <v>3</v>
      </c>
      <c r="AA25" s="11">
        <v>3</v>
      </c>
      <c r="AB25" s="11">
        <v>4</v>
      </c>
      <c r="AC25" s="11">
        <v>4</v>
      </c>
      <c r="AD25" s="11">
        <v>0</v>
      </c>
      <c r="AE25" s="11">
        <v>2</v>
      </c>
      <c r="AF25" s="26">
        <v>16</v>
      </c>
      <c r="AG25" s="26">
        <v>5</v>
      </c>
      <c r="AH25" s="28">
        <v>65</v>
      </c>
      <c r="AI25" s="1"/>
      <c r="AJ25" s="1"/>
      <c r="AK25" s="1"/>
      <c r="AL25" s="171"/>
      <c r="AM25" s="10">
        <v>65</v>
      </c>
      <c r="AN25" s="13"/>
      <c r="AO25" s="32"/>
      <c r="AP25" s="10"/>
      <c r="AQ25" s="10"/>
    </row>
    <row r="26" spans="2:43" ht="19.2" customHeight="1" x14ac:dyDescent="0.3">
      <c r="B26" s="8">
        <v>12</v>
      </c>
      <c r="C26" s="15" t="s">
        <v>49</v>
      </c>
      <c r="D26" s="109"/>
      <c r="E26" s="110"/>
      <c r="F26" s="110"/>
      <c r="G26" s="114"/>
      <c r="H26" s="114"/>
      <c r="I26" s="111"/>
      <c r="J26" s="110">
        <f t="shared" si="0"/>
        <v>0</v>
      </c>
      <c r="K26" s="112"/>
      <c r="L26" s="110"/>
      <c r="M26" s="110"/>
      <c r="N26" s="110"/>
      <c r="O26" s="110">
        <f t="shared" si="1"/>
        <v>0</v>
      </c>
      <c r="P26" s="110"/>
      <c r="Q26" s="113"/>
      <c r="R26" s="16"/>
      <c r="S26" s="133">
        <v>6</v>
      </c>
      <c r="T26" s="134">
        <v>6</v>
      </c>
      <c r="U26" s="134">
        <v>8</v>
      </c>
      <c r="V26" s="134">
        <v>3</v>
      </c>
      <c r="W26" s="134">
        <v>6</v>
      </c>
      <c r="X26" s="26">
        <v>29</v>
      </c>
      <c r="Y26" s="26">
        <v>16</v>
      </c>
      <c r="Z26" s="11">
        <v>4</v>
      </c>
      <c r="AA26" s="11">
        <v>3</v>
      </c>
      <c r="AB26" s="11">
        <v>4</v>
      </c>
      <c r="AC26" s="11">
        <v>4</v>
      </c>
      <c r="AD26" s="11">
        <v>2</v>
      </c>
      <c r="AE26" s="11">
        <v>2</v>
      </c>
      <c r="AF26" s="26">
        <v>19</v>
      </c>
      <c r="AG26" s="26">
        <v>5</v>
      </c>
      <c r="AH26" s="28">
        <v>69</v>
      </c>
      <c r="AI26" s="1"/>
      <c r="AJ26" s="1"/>
      <c r="AK26" s="1"/>
      <c r="AL26" s="1"/>
      <c r="AM26" s="1"/>
      <c r="AN26" s="1"/>
      <c r="AO26" s="1"/>
      <c r="AP26" s="1"/>
      <c r="AQ26" s="1"/>
    </row>
    <row r="27" spans="2:43" ht="19.2" customHeight="1" x14ac:dyDescent="0.3">
      <c r="B27" s="8">
        <v>13</v>
      </c>
      <c r="C27" s="15" t="s">
        <v>50</v>
      </c>
      <c r="D27" s="109"/>
      <c r="E27" s="110"/>
      <c r="F27" s="110"/>
      <c r="G27" s="110"/>
      <c r="H27" s="110"/>
      <c r="I27" s="111"/>
      <c r="J27" s="110">
        <f t="shared" si="0"/>
        <v>0</v>
      </c>
      <c r="K27" s="112"/>
      <c r="L27" s="110"/>
      <c r="M27" s="110"/>
      <c r="N27" s="110"/>
      <c r="O27" s="110">
        <f t="shared" si="1"/>
        <v>0</v>
      </c>
      <c r="P27" s="110"/>
      <c r="Q27" s="113"/>
      <c r="R27" s="16"/>
      <c r="S27" s="133">
        <v>6</v>
      </c>
      <c r="T27" s="134">
        <v>6</v>
      </c>
      <c r="U27" s="134">
        <v>7</v>
      </c>
      <c r="V27" s="134">
        <v>4</v>
      </c>
      <c r="W27" s="134">
        <v>6</v>
      </c>
      <c r="X27" s="26">
        <v>29</v>
      </c>
      <c r="Y27" s="26">
        <v>16</v>
      </c>
      <c r="Z27" s="11">
        <v>4</v>
      </c>
      <c r="AA27" s="11">
        <v>4</v>
      </c>
      <c r="AB27" s="11">
        <v>4</v>
      </c>
      <c r="AC27" s="11">
        <v>3</v>
      </c>
      <c r="AD27" s="11">
        <v>0</v>
      </c>
      <c r="AE27" s="11">
        <v>2</v>
      </c>
      <c r="AF27" s="26">
        <v>17</v>
      </c>
      <c r="AG27" s="26">
        <v>5</v>
      </c>
      <c r="AH27" s="28">
        <v>67</v>
      </c>
      <c r="AI27" s="1"/>
      <c r="AJ27" s="1"/>
      <c r="AK27" s="1"/>
      <c r="AL27" s="39"/>
      <c r="AM27" s="163"/>
      <c r="AN27" s="163"/>
      <c r="AO27" s="163"/>
      <c r="AP27" s="163"/>
      <c r="AQ27" s="163"/>
    </row>
    <row r="28" spans="2:43" ht="19.2" customHeight="1" x14ac:dyDescent="0.3">
      <c r="B28" s="8">
        <v>14</v>
      </c>
      <c r="C28" s="15" t="s">
        <v>52</v>
      </c>
      <c r="D28" s="109"/>
      <c r="E28" s="110"/>
      <c r="F28" s="110"/>
      <c r="G28" s="110"/>
      <c r="H28" s="110"/>
      <c r="I28" s="111"/>
      <c r="J28" s="110">
        <f t="shared" si="0"/>
        <v>0</v>
      </c>
      <c r="K28" s="112"/>
      <c r="L28" s="110"/>
      <c r="M28" s="110"/>
      <c r="N28" s="110"/>
      <c r="O28" s="110">
        <f t="shared" si="1"/>
        <v>0</v>
      </c>
      <c r="P28" s="110"/>
      <c r="Q28" s="113"/>
      <c r="R28" s="16"/>
      <c r="S28" s="133">
        <v>5</v>
      </c>
      <c r="T28" s="134">
        <v>4</v>
      </c>
      <c r="U28" s="134">
        <v>6</v>
      </c>
      <c r="V28" s="134">
        <v>3</v>
      </c>
      <c r="W28" s="134">
        <v>5</v>
      </c>
      <c r="X28" s="26">
        <v>23</v>
      </c>
      <c r="Y28" s="26">
        <v>14</v>
      </c>
      <c r="Z28" s="11">
        <v>3</v>
      </c>
      <c r="AA28" s="11">
        <v>2</v>
      </c>
      <c r="AB28" s="11">
        <v>4</v>
      </c>
      <c r="AC28" s="11">
        <v>4</v>
      </c>
      <c r="AD28" s="11">
        <v>0</v>
      </c>
      <c r="AE28" s="11">
        <v>2</v>
      </c>
      <c r="AF28" s="26">
        <v>15</v>
      </c>
      <c r="AG28" s="26">
        <v>5</v>
      </c>
      <c r="AH28" s="28">
        <v>57</v>
      </c>
      <c r="AI28" s="1"/>
      <c r="AJ28" s="1"/>
      <c r="AK28" s="1"/>
      <c r="AM28" s="33"/>
      <c r="AN28" s="34"/>
      <c r="AO28" s="34"/>
      <c r="AP28" s="34"/>
      <c r="AQ28" s="34"/>
    </row>
    <row r="29" spans="2:43" ht="19.2" customHeight="1" x14ac:dyDescent="0.3">
      <c r="B29" s="8">
        <v>15</v>
      </c>
      <c r="C29" s="15" t="s">
        <v>53</v>
      </c>
      <c r="D29" s="109"/>
      <c r="E29" s="110"/>
      <c r="F29" s="110"/>
      <c r="G29" s="110"/>
      <c r="H29" s="110"/>
      <c r="I29" s="111"/>
      <c r="J29" s="110">
        <f t="shared" si="0"/>
        <v>0</v>
      </c>
      <c r="K29" s="112"/>
      <c r="L29" s="110"/>
      <c r="M29" s="110"/>
      <c r="N29" s="110"/>
      <c r="O29" s="110">
        <f t="shared" si="1"/>
        <v>0</v>
      </c>
      <c r="P29" s="110"/>
      <c r="Q29" s="113"/>
      <c r="R29" s="16"/>
      <c r="S29" s="133">
        <v>5</v>
      </c>
      <c r="T29" s="134">
        <v>5</v>
      </c>
      <c r="U29" s="134">
        <v>8</v>
      </c>
      <c r="V29" s="134">
        <v>4</v>
      </c>
      <c r="W29" s="134">
        <v>6</v>
      </c>
      <c r="X29" s="26">
        <v>28</v>
      </c>
      <c r="Y29" s="26">
        <v>17</v>
      </c>
      <c r="Z29" s="11">
        <v>4</v>
      </c>
      <c r="AA29" s="11">
        <v>3</v>
      </c>
      <c r="AB29" s="11">
        <v>4</v>
      </c>
      <c r="AC29" s="11">
        <v>3</v>
      </c>
      <c r="AD29" s="11">
        <v>0</v>
      </c>
      <c r="AE29" s="11">
        <v>2</v>
      </c>
      <c r="AF29" s="26">
        <v>16</v>
      </c>
      <c r="AG29" s="26">
        <v>5</v>
      </c>
      <c r="AH29" s="28">
        <v>66</v>
      </c>
      <c r="AI29" s="1"/>
      <c r="AJ29" s="1"/>
      <c r="AK29" s="1"/>
      <c r="AM29" s="35"/>
      <c r="AN29" s="36"/>
      <c r="AO29" s="29"/>
      <c r="AP29" s="29"/>
      <c r="AQ29" s="36"/>
    </row>
    <row r="30" spans="2:43" ht="19.2" customHeight="1" x14ac:dyDescent="0.3">
      <c r="B30" s="8">
        <v>16</v>
      </c>
      <c r="C30" s="15" t="s">
        <v>54</v>
      </c>
      <c r="D30" s="109"/>
      <c r="E30" s="110"/>
      <c r="F30" s="110"/>
      <c r="G30" s="110"/>
      <c r="H30" s="110"/>
      <c r="I30" s="111"/>
      <c r="J30" s="110">
        <f t="shared" si="0"/>
        <v>0</v>
      </c>
      <c r="K30" s="112"/>
      <c r="L30" s="110"/>
      <c r="M30" s="110"/>
      <c r="N30" s="110"/>
      <c r="O30" s="110">
        <f t="shared" si="1"/>
        <v>0</v>
      </c>
      <c r="P30" s="110"/>
      <c r="Q30" s="113"/>
      <c r="R30" s="16"/>
      <c r="S30" s="133">
        <v>6</v>
      </c>
      <c r="T30" s="134">
        <v>6</v>
      </c>
      <c r="U30" s="134">
        <v>8</v>
      </c>
      <c r="V30" s="134">
        <v>4</v>
      </c>
      <c r="W30" s="134">
        <v>6</v>
      </c>
      <c r="X30" s="26">
        <v>30</v>
      </c>
      <c r="Y30" s="26">
        <v>18</v>
      </c>
      <c r="Z30" s="11">
        <v>3</v>
      </c>
      <c r="AA30" s="11">
        <v>4</v>
      </c>
      <c r="AB30" s="11">
        <v>4</v>
      </c>
      <c r="AC30" s="11">
        <v>4</v>
      </c>
      <c r="AD30" s="11">
        <v>0</v>
      </c>
      <c r="AE30" s="11">
        <v>2</v>
      </c>
      <c r="AF30" s="26">
        <v>17</v>
      </c>
      <c r="AG30" s="26">
        <v>5</v>
      </c>
      <c r="AH30" s="28">
        <v>70</v>
      </c>
      <c r="AI30" s="1"/>
      <c r="AJ30" s="1"/>
      <c r="AK30" s="1"/>
      <c r="AM30" s="35"/>
      <c r="AN30" s="36"/>
      <c r="AO30" s="29"/>
      <c r="AP30" s="29"/>
      <c r="AQ30" s="36"/>
    </row>
    <row r="31" spans="2:43" ht="19.2" customHeight="1" x14ac:dyDescent="0.3">
      <c r="B31" s="8">
        <v>17</v>
      </c>
      <c r="C31" s="15" t="s">
        <v>55</v>
      </c>
      <c r="D31" s="109"/>
      <c r="E31" s="110"/>
      <c r="F31" s="110"/>
      <c r="G31" s="110"/>
      <c r="H31" s="110"/>
      <c r="I31" s="111"/>
      <c r="J31" s="110">
        <f t="shared" si="0"/>
        <v>0</v>
      </c>
      <c r="K31" s="112"/>
      <c r="L31" s="110"/>
      <c r="M31" s="110"/>
      <c r="N31" s="110"/>
      <c r="O31" s="110">
        <f t="shared" si="1"/>
        <v>0</v>
      </c>
      <c r="P31" s="110"/>
      <c r="Q31" s="113"/>
      <c r="R31" s="16"/>
      <c r="S31" s="133">
        <v>6</v>
      </c>
      <c r="T31" s="134">
        <v>6</v>
      </c>
      <c r="U31" s="134">
        <v>8</v>
      </c>
      <c r="V31" s="134">
        <v>4</v>
      </c>
      <c r="W31" s="134">
        <v>5</v>
      </c>
      <c r="X31" s="26">
        <v>29</v>
      </c>
      <c r="Y31" s="26">
        <v>14</v>
      </c>
      <c r="Z31" s="11">
        <v>4</v>
      </c>
      <c r="AA31" s="11">
        <v>3</v>
      </c>
      <c r="AB31" s="11">
        <v>4</v>
      </c>
      <c r="AC31" s="11">
        <v>4</v>
      </c>
      <c r="AD31" s="11">
        <v>0</v>
      </c>
      <c r="AE31" s="11">
        <v>2</v>
      </c>
      <c r="AF31" s="26">
        <v>17</v>
      </c>
      <c r="AG31" s="26">
        <v>5</v>
      </c>
      <c r="AH31" s="28">
        <v>65</v>
      </c>
      <c r="AI31" s="1"/>
      <c r="AJ31" s="1"/>
      <c r="AK31" s="1"/>
      <c r="AM31" s="35"/>
      <c r="AN31" s="36"/>
      <c r="AO31" s="29"/>
      <c r="AP31" s="29"/>
      <c r="AQ31" s="36"/>
    </row>
    <row r="32" spans="2:43" ht="19.2" customHeight="1" x14ac:dyDescent="0.3">
      <c r="B32" s="8">
        <v>18</v>
      </c>
      <c r="C32" s="15" t="s">
        <v>56</v>
      </c>
      <c r="D32" s="109"/>
      <c r="E32" s="110"/>
      <c r="F32" s="110"/>
      <c r="G32" s="110"/>
      <c r="H32" s="110"/>
      <c r="I32" s="111"/>
      <c r="J32" s="110">
        <f t="shared" si="0"/>
        <v>0</v>
      </c>
      <c r="K32" s="112"/>
      <c r="L32" s="110"/>
      <c r="M32" s="110"/>
      <c r="N32" s="110"/>
      <c r="O32" s="110">
        <f t="shared" si="1"/>
        <v>0</v>
      </c>
      <c r="P32" s="110"/>
      <c r="Q32" s="113"/>
      <c r="R32" s="16"/>
      <c r="S32" s="133">
        <v>5</v>
      </c>
      <c r="T32" s="134">
        <v>5</v>
      </c>
      <c r="U32" s="134">
        <v>8</v>
      </c>
      <c r="V32" s="134">
        <v>3</v>
      </c>
      <c r="W32" s="134">
        <v>6</v>
      </c>
      <c r="X32" s="26">
        <v>27</v>
      </c>
      <c r="Y32" s="26">
        <v>17</v>
      </c>
      <c r="Z32" s="11">
        <v>3</v>
      </c>
      <c r="AA32" s="11">
        <v>3</v>
      </c>
      <c r="AB32" s="11">
        <v>4</v>
      </c>
      <c r="AC32" s="11">
        <v>4</v>
      </c>
      <c r="AD32" s="11">
        <v>2</v>
      </c>
      <c r="AE32" s="11">
        <v>2</v>
      </c>
      <c r="AF32" s="26">
        <v>18</v>
      </c>
      <c r="AG32" s="26">
        <v>5</v>
      </c>
      <c r="AH32" s="28">
        <v>67</v>
      </c>
      <c r="AI32" s="1"/>
      <c r="AJ32" s="1"/>
      <c r="AK32" s="1"/>
      <c r="AL32" s="38"/>
      <c r="AM32" s="38"/>
      <c r="AN32" s="38"/>
      <c r="AO32" s="38"/>
      <c r="AP32" s="1"/>
      <c r="AQ32" s="1"/>
    </row>
    <row r="33" spans="2:43" ht="19.2" customHeight="1" x14ac:dyDescent="0.3">
      <c r="B33" s="8">
        <v>19</v>
      </c>
      <c r="C33" s="15" t="s">
        <v>57</v>
      </c>
      <c r="D33" s="109"/>
      <c r="E33" s="110"/>
      <c r="F33" s="110"/>
      <c r="G33" s="110"/>
      <c r="H33" s="114"/>
      <c r="I33" s="111"/>
      <c r="J33" s="110">
        <f t="shared" si="0"/>
        <v>0</v>
      </c>
      <c r="K33" s="112"/>
      <c r="L33" s="110"/>
      <c r="M33" s="110"/>
      <c r="N33" s="110"/>
      <c r="O33" s="110">
        <f t="shared" si="1"/>
        <v>0</v>
      </c>
      <c r="P33" s="110"/>
      <c r="Q33" s="113"/>
      <c r="R33" s="16"/>
      <c r="S33" s="133">
        <v>6</v>
      </c>
      <c r="T33" s="134">
        <v>5</v>
      </c>
      <c r="U33" s="134">
        <v>8</v>
      </c>
      <c r="V33" s="134">
        <v>4</v>
      </c>
      <c r="W33" s="134">
        <v>5</v>
      </c>
      <c r="X33" s="26">
        <v>28</v>
      </c>
      <c r="Y33" s="26">
        <v>16</v>
      </c>
      <c r="Z33" s="11">
        <v>4</v>
      </c>
      <c r="AA33" s="11">
        <v>3</v>
      </c>
      <c r="AB33" s="11">
        <v>4</v>
      </c>
      <c r="AC33" s="11">
        <v>3</v>
      </c>
      <c r="AD33" s="11">
        <v>0</v>
      </c>
      <c r="AE33" s="11">
        <v>2</v>
      </c>
      <c r="AF33" s="26">
        <v>16</v>
      </c>
      <c r="AG33" s="26">
        <v>5</v>
      </c>
      <c r="AH33" s="28">
        <v>65</v>
      </c>
      <c r="AI33" s="1"/>
      <c r="AJ33" s="1"/>
      <c r="AK33" s="1"/>
      <c r="AL33" s="37"/>
      <c r="AM33" s="2"/>
      <c r="AN33" s="2"/>
      <c r="AO33" s="2"/>
      <c r="AP33" s="1"/>
      <c r="AQ33" s="1"/>
    </row>
    <row r="34" spans="2:43" ht="19.2" customHeight="1" x14ac:dyDescent="0.3">
      <c r="B34" s="8">
        <v>20</v>
      </c>
      <c r="C34" s="15" t="s">
        <v>58</v>
      </c>
      <c r="D34" s="109"/>
      <c r="E34" s="110"/>
      <c r="F34" s="110"/>
      <c r="G34" s="110"/>
      <c r="H34" s="114"/>
      <c r="I34" s="111"/>
      <c r="J34" s="110">
        <f t="shared" si="0"/>
        <v>0</v>
      </c>
      <c r="K34" s="112"/>
      <c r="L34" s="110"/>
      <c r="M34" s="110"/>
      <c r="N34" s="110"/>
      <c r="O34" s="110">
        <f t="shared" si="1"/>
        <v>0</v>
      </c>
      <c r="P34" s="110"/>
      <c r="Q34" s="113"/>
      <c r="R34" s="16"/>
      <c r="S34" s="133">
        <v>5</v>
      </c>
      <c r="T34" s="134">
        <v>5</v>
      </c>
      <c r="U34" s="134">
        <v>7</v>
      </c>
      <c r="V34" s="134">
        <v>4</v>
      </c>
      <c r="W34" s="134">
        <v>6</v>
      </c>
      <c r="X34" s="26">
        <v>27</v>
      </c>
      <c r="Y34" s="26">
        <v>16</v>
      </c>
      <c r="Z34" s="11">
        <v>4</v>
      </c>
      <c r="AA34" s="11">
        <v>4</v>
      </c>
      <c r="AB34" s="11">
        <v>4</v>
      </c>
      <c r="AC34" s="11">
        <v>3</v>
      </c>
      <c r="AD34" s="11">
        <v>0</v>
      </c>
      <c r="AE34" s="11">
        <v>2</v>
      </c>
      <c r="AF34" s="26">
        <v>17</v>
      </c>
      <c r="AG34" s="26">
        <v>5</v>
      </c>
      <c r="AH34" s="28">
        <v>65</v>
      </c>
      <c r="AI34" s="1"/>
      <c r="AJ34" s="1"/>
      <c r="AK34" s="1"/>
      <c r="AL34" s="3"/>
      <c r="AM34" s="1"/>
      <c r="AN34" s="1"/>
      <c r="AO34" s="1"/>
      <c r="AP34" s="1"/>
      <c r="AQ34" s="1"/>
    </row>
    <row r="35" spans="2:43" ht="19.2" customHeight="1" x14ac:dyDescent="0.3">
      <c r="B35" s="8">
        <v>21</v>
      </c>
      <c r="C35" s="15" t="s">
        <v>59</v>
      </c>
      <c r="D35" s="109"/>
      <c r="E35" s="110"/>
      <c r="F35" s="114"/>
      <c r="G35" s="110"/>
      <c r="H35" s="114"/>
      <c r="I35" s="111"/>
      <c r="J35" s="110">
        <f t="shared" si="0"/>
        <v>0</v>
      </c>
      <c r="K35" s="112"/>
      <c r="L35" s="110"/>
      <c r="M35" s="110"/>
      <c r="N35" s="110"/>
      <c r="O35" s="110">
        <f t="shared" si="1"/>
        <v>0</v>
      </c>
      <c r="P35" s="110"/>
      <c r="Q35" s="113"/>
      <c r="R35" s="16"/>
      <c r="S35" s="133">
        <v>5</v>
      </c>
      <c r="T35" s="134">
        <v>4</v>
      </c>
      <c r="U35" s="134">
        <v>7</v>
      </c>
      <c r="V35" s="134">
        <v>4</v>
      </c>
      <c r="W35" s="134">
        <v>5</v>
      </c>
      <c r="X35" s="26">
        <v>25</v>
      </c>
      <c r="Y35" s="26">
        <v>15</v>
      </c>
      <c r="Z35" s="11">
        <v>3</v>
      </c>
      <c r="AA35" s="11">
        <v>4</v>
      </c>
      <c r="AB35" s="11">
        <v>0</v>
      </c>
      <c r="AC35" s="11">
        <v>4</v>
      </c>
      <c r="AD35" s="11">
        <v>2</v>
      </c>
      <c r="AE35" s="11">
        <v>2</v>
      </c>
      <c r="AF35" s="26">
        <v>15</v>
      </c>
      <c r="AG35" s="26">
        <v>5</v>
      </c>
      <c r="AH35" s="28">
        <v>60</v>
      </c>
      <c r="AI35" s="1"/>
      <c r="AJ35" s="1"/>
      <c r="AK35" s="1"/>
      <c r="AL35" s="1"/>
      <c r="AM35" s="1"/>
      <c r="AN35" s="1"/>
      <c r="AO35" s="1"/>
      <c r="AP35" s="1"/>
      <c r="AQ35" s="1"/>
    </row>
    <row r="36" spans="2:43" ht="19.2" customHeight="1" x14ac:dyDescent="0.3">
      <c r="B36" s="8">
        <v>22</v>
      </c>
      <c r="C36" s="15" t="s">
        <v>60</v>
      </c>
      <c r="D36" s="109"/>
      <c r="E36" s="110"/>
      <c r="F36" s="110"/>
      <c r="G36" s="110"/>
      <c r="H36" s="110"/>
      <c r="I36" s="111"/>
      <c r="J36" s="110">
        <f t="shared" si="0"/>
        <v>0</v>
      </c>
      <c r="K36" s="112"/>
      <c r="L36" s="110"/>
      <c r="M36" s="110"/>
      <c r="N36" s="110"/>
      <c r="O36" s="110">
        <f t="shared" si="1"/>
        <v>0</v>
      </c>
      <c r="P36" s="110"/>
      <c r="Q36" s="113"/>
      <c r="R36" s="16"/>
      <c r="S36" s="133">
        <v>6</v>
      </c>
      <c r="T36" s="134">
        <v>5</v>
      </c>
      <c r="U36" s="134">
        <v>8</v>
      </c>
      <c r="V36" s="134">
        <v>4</v>
      </c>
      <c r="W36" s="134">
        <v>5</v>
      </c>
      <c r="X36" s="26">
        <v>28</v>
      </c>
      <c r="Y36" s="26">
        <v>12</v>
      </c>
      <c r="Z36" s="11">
        <v>4</v>
      </c>
      <c r="AA36" s="11">
        <v>4</v>
      </c>
      <c r="AB36" s="11">
        <v>4</v>
      </c>
      <c r="AC36" s="11">
        <v>3</v>
      </c>
      <c r="AD36" s="11">
        <v>2</v>
      </c>
      <c r="AE36" s="11">
        <v>2</v>
      </c>
      <c r="AF36" s="26">
        <v>19</v>
      </c>
      <c r="AG36" s="26">
        <v>5</v>
      </c>
      <c r="AH36" s="28">
        <v>64</v>
      </c>
      <c r="AI36" s="1"/>
      <c r="AJ36" s="1"/>
      <c r="AK36" s="1"/>
      <c r="AL36" s="1"/>
      <c r="AM36" s="1"/>
      <c r="AN36" s="1"/>
      <c r="AO36" s="1"/>
      <c r="AP36" s="1"/>
      <c r="AQ36" s="1"/>
    </row>
    <row r="37" spans="2:43" ht="19.2" customHeight="1" x14ac:dyDescent="0.3">
      <c r="B37" s="8">
        <v>23</v>
      </c>
      <c r="C37" s="15" t="s">
        <v>61</v>
      </c>
      <c r="D37" s="109"/>
      <c r="E37" s="110"/>
      <c r="F37" s="110"/>
      <c r="G37" s="110"/>
      <c r="H37" s="110"/>
      <c r="I37" s="111"/>
      <c r="J37" s="110">
        <f t="shared" si="0"/>
        <v>0</v>
      </c>
      <c r="K37" s="112"/>
      <c r="L37" s="110"/>
      <c r="M37" s="110"/>
      <c r="N37" s="110"/>
      <c r="O37" s="110">
        <f t="shared" si="1"/>
        <v>0</v>
      </c>
      <c r="P37" s="110"/>
      <c r="Q37" s="113"/>
      <c r="R37" s="16"/>
      <c r="S37" s="133">
        <v>6</v>
      </c>
      <c r="T37" s="134">
        <v>5</v>
      </c>
      <c r="U37" s="134">
        <v>7</v>
      </c>
      <c r="V37" s="134">
        <v>3</v>
      </c>
      <c r="W37" s="134">
        <v>6</v>
      </c>
      <c r="X37" s="26">
        <v>27</v>
      </c>
      <c r="Y37" s="26">
        <v>15</v>
      </c>
      <c r="Z37" s="11">
        <v>4</v>
      </c>
      <c r="AA37" s="11">
        <v>3</v>
      </c>
      <c r="AB37" s="11">
        <v>4</v>
      </c>
      <c r="AC37" s="11">
        <v>4</v>
      </c>
      <c r="AD37" s="11">
        <v>2</v>
      </c>
      <c r="AE37" s="11">
        <v>2</v>
      </c>
      <c r="AF37" s="26">
        <v>19</v>
      </c>
      <c r="AG37" s="26">
        <v>5</v>
      </c>
      <c r="AH37" s="28">
        <v>66</v>
      </c>
      <c r="AI37" s="1"/>
      <c r="AJ37" s="1"/>
      <c r="AK37" s="1"/>
      <c r="AL37" s="1"/>
      <c r="AM37" s="1"/>
      <c r="AN37" s="1"/>
      <c r="AO37" s="1"/>
      <c r="AP37" s="1"/>
      <c r="AQ37" s="1"/>
    </row>
    <row r="38" spans="2:43" ht="19.2" customHeight="1" x14ac:dyDescent="0.3">
      <c r="B38" s="8">
        <v>24</v>
      </c>
      <c r="C38" s="15" t="s">
        <v>62</v>
      </c>
      <c r="D38" s="109"/>
      <c r="E38" s="110"/>
      <c r="F38" s="110"/>
      <c r="G38" s="110"/>
      <c r="H38" s="110"/>
      <c r="I38" s="111"/>
      <c r="J38" s="110">
        <f t="shared" si="0"/>
        <v>0</v>
      </c>
      <c r="K38" s="112"/>
      <c r="L38" s="110"/>
      <c r="M38" s="110"/>
      <c r="N38" s="110"/>
      <c r="O38" s="110">
        <f t="shared" si="1"/>
        <v>0</v>
      </c>
      <c r="P38" s="110"/>
      <c r="Q38" s="113"/>
      <c r="R38" s="16"/>
      <c r="S38" s="133">
        <v>4</v>
      </c>
      <c r="T38" s="134">
        <v>4</v>
      </c>
      <c r="U38" s="134">
        <v>7</v>
      </c>
      <c r="V38" s="134">
        <v>2</v>
      </c>
      <c r="W38" s="134">
        <v>5</v>
      </c>
      <c r="X38" s="26">
        <v>22</v>
      </c>
      <c r="Y38" s="26">
        <v>17</v>
      </c>
      <c r="Z38" s="11">
        <v>4</v>
      </c>
      <c r="AA38" s="11">
        <v>2</v>
      </c>
      <c r="AB38" s="11">
        <v>1</v>
      </c>
      <c r="AC38" s="11">
        <v>4</v>
      </c>
      <c r="AD38" s="11">
        <v>0</v>
      </c>
      <c r="AE38" s="11">
        <v>2</v>
      </c>
      <c r="AF38" s="26">
        <v>13</v>
      </c>
      <c r="AG38" s="26">
        <v>5</v>
      </c>
      <c r="AH38" s="28">
        <v>57</v>
      </c>
      <c r="AI38" s="1"/>
      <c r="AJ38" s="1"/>
      <c r="AK38" s="1"/>
      <c r="AL38" s="1"/>
      <c r="AM38" s="1"/>
      <c r="AN38" s="1"/>
      <c r="AO38" s="1"/>
      <c r="AP38" s="1"/>
      <c r="AQ38" s="1"/>
    </row>
    <row r="39" spans="2:43" ht="19.2" customHeight="1" x14ac:dyDescent="0.3">
      <c r="B39" s="8">
        <v>25</v>
      </c>
      <c r="C39" s="15" t="s">
        <v>63</v>
      </c>
      <c r="D39" s="109"/>
      <c r="E39" s="110"/>
      <c r="F39" s="110"/>
      <c r="G39" s="110"/>
      <c r="H39" s="114"/>
      <c r="I39" s="111"/>
      <c r="J39" s="110">
        <f t="shared" si="0"/>
        <v>0</v>
      </c>
      <c r="K39" s="112"/>
      <c r="L39" s="110"/>
      <c r="M39" s="110"/>
      <c r="N39" s="110"/>
      <c r="O39" s="110">
        <f t="shared" si="1"/>
        <v>0</v>
      </c>
      <c r="P39" s="110"/>
      <c r="Q39" s="113"/>
      <c r="R39" s="16"/>
      <c r="S39" s="133">
        <v>5</v>
      </c>
      <c r="T39" s="134">
        <v>4</v>
      </c>
      <c r="U39" s="134">
        <v>4</v>
      </c>
      <c r="V39" s="134">
        <v>2</v>
      </c>
      <c r="W39" s="134">
        <v>3</v>
      </c>
      <c r="X39" s="26">
        <v>18</v>
      </c>
      <c r="Y39" s="26">
        <v>18</v>
      </c>
      <c r="Z39" s="11">
        <v>3</v>
      </c>
      <c r="AA39" s="11">
        <v>2</v>
      </c>
      <c r="AB39" s="11">
        <v>2</v>
      </c>
      <c r="AC39" s="11">
        <v>4</v>
      </c>
      <c r="AD39" s="11">
        <v>0</v>
      </c>
      <c r="AE39" s="11">
        <v>2</v>
      </c>
      <c r="AF39" s="26">
        <v>13</v>
      </c>
      <c r="AG39" s="26">
        <v>5</v>
      </c>
      <c r="AH39" s="28">
        <v>54</v>
      </c>
      <c r="AI39" s="1"/>
      <c r="AJ39" s="1"/>
      <c r="AK39" s="1"/>
      <c r="AL39" s="1"/>
      <c r="AM39" s="1"/>
      <c r="AN39" s="1"/>
      <c r="AO39" s="1"/>
      <c r="AP39" s="1"/>
      <c r="AQ39" s="1"/>
    </row>
    <row r="40" spans="2:43" ht="19.2" customHeight="1" x14ac:dyDescent="0.3">
      <c r="B40" s="8">
        <v>26</v>
      </c>
      <c r="C40" s="15" t="s">
        <v>64</v>
      </c>
      <c r="D40" s="109"/>
      <c r="E40" s="110"/>
      <c r="F40" s="110"/>
      <c r="G40" s="114"/>
      <c r="H40" s="114"/>
      <c r="I40" s="111"/>
      <c r="J40" s="110">
        <f t="shared" si="0"/>
        <v>0</v>
      </c>
      <c r="K40" s="112"/>
      <c r="L40" s="110"/>
      <c r="M40" s="110"/>
      <c r="N40" s="110"/>
      <c r="O40" s="110">
        <f t="shared" si="1"/>
        <v>0</v>
      </c>
      <c r="P40" s="110"/>
      <c r="Q40" s="113"/>
      <c r="R40" s="16"/>
      <c r="S40" s="133">
        <v>5</v>
      </c>
      <c r="T40" s="134">
        <v>4</v>
      </c>
      <c r="U40" s="134">
        <v>6</v>
      </c>
      <c r="V40" s="134">
        <v>4</v>
      </c>
      <c r="W40" s="134">
        <v>0</v>
      </c>
      <c r="X40" s="26">
        <v>19</v>
      </c>
      <c r="Y40" s="26">
        <v>17</v>
      </c>
      <c r="Z40" s="11">
        <v>4</v>
      </c>
      <c r="AA40" s="11">
        <v>3</v>
      </c>
      <c r="AB40" s="11">
        <v>0</v>
      </c>
      <c r="AC40" s="11">
        <v>3</v>
      </c>
      <c r="AD40" s="11">
        <v>1</v>
      </c>
      <c r="AE40" s="11">
        <v>2</v>
      </c>
      <c r="AF40" s="26">
        <v>13</v>
      </c>
      <c r="AG40" s="26">
        <v>0</v>
      </c>
      <c r="AH40" s="28">
        <v>49</v>
      </c>
      <c r="AI40" s="1"/>
      <c r="AJ40" s="1"/>
      <c r="AK40" s="1"/>
      <c r="AL40" s="1"/>
      <c r="AM40" s="1"/>
      <c r="AN40" s="1"/>
      <c r="AO40" s="1"/>
      <c r="AP40" s="1"/>
      <c r="AQ40" s="1"/>
    </row>
    <row r="41" spans="2:43" ht="19.2" customHeight="1" x14ac:dyDescent="0.3">
      <c r="B41" s="8">
        <v>27</v>
      </c>
      <c r="C41" s="15" t="s">
        <v>65</v>
      </c>
      <c r="D41" s="109"/>
      <c r="E41" s="110"/>
      <c r="F41" s="110"/>
      <c r="G41" s="110"/>
      <c r="H41" s="110"/>
      <c r="I41" s="111"/>
      <c r="J41" s="110">
        <f t="shared" si="0"/>
        <v>0</v>
      </c>
      <c r="K41" s="112"/>
      <c r="L41" s="110"/>
      <c r="M41" s="110"/>
      <c r="N41" s="110"/>
      <c r="O41" s="110">
        <f t="shared" si="1"/>
        <v>0</v>
      </c>
      <c r="P41" s="110"/>
      <c r="Q41" s="113"/>
      <c r="R41" s="16"/>
      <c r="S41" s="133">
        <v>5</v>
      </c>
      <c r="T41" s="134">
        <v>4</v>
      </c>
      <c r="U41" s="134">
        <v>7</v>
      </c>
      <c r="V41" s="134">
        <v>4</v>
      </c>
      <c r="W41" s="134">
        <v>6</v>
      </c>
      <c r="X41" s="26">
        <v>26</v>
      </c>
      <c r="Y41" s="26">
        <v>10</v>
      </c>
      <c r="Z41" s="11">
        <v>3</v>
      </c>
      <c r="AA41" s="11">
        <v>2</v>
      </c>
      <c r="AB41" s="11">
        <v>2</v>
      </c>
      <c r="AC41" s="11">
        <v>4</v>
      </c>
      <c r="AD41" s="11">
        <v>0</v>
      </c>
      <c r="AE41" s="11">
        <v>0</v>
      </c>
      <c r="AF41" s="26">
        <v>11</v>
      </c>
      <c r="AG41" s="26">
        <v>5</v>
      </c>
      <c r="AH41" s="28">
        <v>52</v>
      </c>
      <c r="AI41" s="1"/>
      <c r="AJ41" s="1"/>
      <c r="AK41" s="1"/>
      <c r="AL41" s="1"/>
      <c r="AM41" s="1"/>
      <c r="AN41" s="1"/>
      <c r="AO41" s="1"/>
      <c r="AP41" s="1"/>
      <c r="AQ41" s="1"/>
    </row>
    <row r="42" spans="2:43" ht="19.2" customHeight="1" x14ac:dyDescent="0.3">
      <c r="B42" s="8">
        <v>28</v>
      </c>
      <c r="C42" s="15" t="s">
        <v>66</v>
      </c>
      <c r="D42" s="109"/>
      <c r="E42" s="110"/>
      <c r="F42" s="110"/>
      <c r="G42" s="110"/>
      <c r="H42" s="110"/>
      <c r="I42" s="111"/>
      <c r="J42" s="110">
        <f t="shared" si="0"/>
        <v>0</v>
      </c>
      <c r="K42" s="112"/>
      <c r="L42" s="110"/>
      <c r="M42" s="110"/>
      <c r="N42" s="110"/>
      <c r="O42" s="110">
        <f t="shared" si="1"/>
        <v>0</v>
      </c>
      <c r="P42" s="110"/>
      <c r="Q42" s="113"/>
      <c r="R42" s="16"/>
      <c r="S42" s="133">
        <v>5</v>
      </c>
      <c r="T42" s="134">
        <v>5</v>
      </c>
      <c r="U42" s="134">
        <v>6</v>
      </c>
      <c r="V42" s="134">
        <v>3</v>
      </c>
      <c r="W42" s="134">
        <v>5</v>
      </c>
      <c r="X42" s="26">
        <v>24</v>
      </c>
      <c r="Y42" s="26">
        <v>9</v>
      </c>
      <c r="Z42" s="11">
        <v>4</v>
      </c>
      <c r="AA42" s="11">
        <v>3</v>
      </c>
      <c r="AB42" s="11">
        <v>2</v>
      </c>
      <c r="AC42" s="11">
        <v>3</v>
      </c>
      <c r="AD42" s="11">
        <v>2</v>
      </c>
      <c r="AE42" s="11">
        <v>1</v>
      </c>
      <c r="AF42" s="26">
        <v>15</v>
      </c>
      <c r="AG42" s="26">
        <v>0</v>
      </c>
      <c r="AH42" s="28">
        <v>48</v>
      </c>
      <c r="AI42" s="1"/>
      <c r="AJ42" s="1"/>
      <c r="AK42" s="1"/>
      <c r="AL42" s="1"/>
      <c r="AM42" s="1"/>
      <c r="AN42" s="1"/>
      <c r="AO42" s="1"/>
      <c r="AP42" s="1"/>
      <c r="AQ42" s="1"/>
    </row>
    <row r="43" spans="2:43" ht="19.2" customHeight="1" x14ac:dyDescent="0.3">
      <c r="B43" s="8">
        <v>29</v>
      </c>
      <c r="C43" s="15" t="s">
        <v>67</v>
      </c>
      <c r="D43" s="109"/>
      <c r="E43" s="110"/>
      <c r="F43" s="110"/>
      <c r="G43" s="110"/>
      <c r="H43" s="110"/>
      <c r="I43" s="111"/>
      <c r="J43" s="110">
        <f t="shared" si="0"/>
        <v>0</v>
      </c>
      <c r="K43" s="112"/>
      <c r="L43" s="110"/>
      <c r="M43" s="110"/>
      <c r="N43" s="110"/>
      <c r="O43" s="110">
        <f t="shared" si="1"/>
        <v>0</v>
      </c>
      <c r="P43" s="110"/>
      <c r="Q43" s="113"/>
      <c r="R43" s="16"/>
      <c r="S43" s="133">
        <v>5</v>
      </c>
      <c r="T43" s="134">
        <v>6</v>
      </c>
      <c r="U43" s="134">
        <v>7</v>
      </c>
      <c r="V43" s="134">
        <v>4</v>
      </c>
      <c r="W43" s="134">
        <v>5</v>
      </c>
      <c r="X43" s="26">
        <v>27</v>
      </c>
      <c r="Y43" s="26">
        <v>14</v>
      </c>
      <c r="Z43" s="11">
        <v>4</v>
      </c>
      <c r="AA43" s="11">
        <v>3</v>
      </c>
      <c r="AB43" s="11">
        <v>2</v>
      </c>
      <c r="AC43" s="11">
        <v>4</v>
      </c>
      <c r="AD43" s="11">
        <v>2</v>
      </c>
      <c r="AE43" s="11">
        <v>1</v>
      </c>
      <c r="AF43" s="26">
        <v>16</v>
      </c>
      <c r="AG43" s="26">
        <v>5</v>
      </c>
      <c r="AH43" s="28">
        <v>62</v>
      </c>
      <c r="AI43" s="1"/>
      <c r="AJ43" s="1"/>
      <c r="AK43" s="1"/>
      <c r="AL43" s="1"/>
      <c r="AM43" s="1"/>
      <c r="AN43" s="1"/>
      <c r="AO43" s="1"/>
      <c r="AP43" s="1"/>
      <c r="AQ43" s="1"/>
    </row>
    <row r="44" spans="2:43" ht="19.2" customHeight="1" x14ac:dyDescent="0.3">
      <c r="B44" s="8">
        <v>30</v>
      </c>
      <c r="C44" s="15" t="s">
        <v>68</v>
      </c>
      <c r="D44" s="109"/>
      <c r="E44" s="110"/>
      <c r="F44" s="110"/>
      <c r="G44" s="110"/>
      <c r="H44" s="110"/>
      <c r="I44" s="111"/>
      <c r="J44" s="110">
        <f t="shared" si="0"/>
        <v>0</v>
      </c>
      <c r="K44" s="112"/>
      <c r="L44" s="110"/>
      <c r="M44" s="110"/>
      <c r="N44" s="110"/>
      <c r="O44" s="110">
        <f t="shared" si="1"/>
        <v>0</v>
      </c>
      <c r="P44" s="110"/>
      <c r="Q44" s="113"/>
      <c r="R44" s="16"/>
      <c r="S44" s="133">
        <v>5</v>
      </c>
      <c r="T44" s="134">
        <v>6</v>
      </c>
      <c r="U44" s="134">
        <v>7</v>
      </c>
      <c r="V44" s="134">
        <v>4</v>
      </c>
      <c r="W44" s="134">
        <v>5</v>
      </c>
      <c r="X44" s="26">
        <v>27</v>
      </c>
      <c r="Y44" s="26">
        <v>14</v>
      </c>
      <c r="Z44" s="11">
        <v>4</v>
      </c>
      <c r="AA44" s="11">
        <v>3</v>
      </c>
      <c r="AB44" s="11">
        <v>2</v>
      </c>
      <c r="AC44" s="11">
        <v>2</v>
      </c>
      <c r="AD44" s="11">
        <v>1</v>
      </c>
      <c r="AE44" s="11">
        <v>1</v>
      </c>
      <c r="AF44" s="26">
        <v>13</v>
      </c>
      <c r="AG44" s="26">
        <v>5</v>
      </c>
      <c r="AH44" s="28">
        <v>59</v>
      </c>
      <c r="AI44" s="1"/>
      <c r="AJ44" s="1"/>
      <c r="AK44" s="1"/>
      <c r="AL44" s="1"/>
      <c r="AM44" s="1"/>
      <c r="AN44" s="1"/>
      <c r="AO44" s="1"/>
      <c r="AP44" s="1"/>
      <c r="AQ44" s="1"/>
    </row>
    <row r="45" spans="2:43" ht="19.2" customHeight="1" x14ac:dyDescent="0.3">
      <c r="B45" s="8">
        <v>31</v>
      </c>
      <c r="C45" s="15" t="s">
        <v>69</v>
      </c>
      <c r="D45" s="109"/>
      <c r="E45" s="110"/>
      <c r="F45" s="110"/>
      <c r="G45" s="114"/>
      <c r="H45" s="114"/>
      <c r="I45" s="111"/>
      <c r="J45" s="110">
        <f t="shared" si="0"/>
        <v>0</v>
      </c>
      <c r="K45" s="112"/>
      <c r="L45" s="110"/>
      <c r="M45" s="110"/>
      <c r="N45" s="110"/>
      <c r="O45" s="110">
        <f t="shared" si="1"/>
        <v>0</v>
      </c>
      <c r="P45" s="110"/>
      <c r="Q45" s="113"/>
      <c r="R45" s="16"/>
      <c r="S45" s="133">
        <v>5</v>
      </c>
      <c r="T45" s="134">
        <v>5</v>
      </c>
      <c r="U45" s="134">
        <v>7</v>
      </c>
      <c r="V45" s="134">
        <v>3</v>
      </c>
      <c r="W45" s="134">
        <v>5</v>
      </c>
      <c r="X45" s="26">
        <v>25</v>
      </c>
      <c r="Y45" s="26">
        <v>17</v>
      </c>
      <c r="Z45" s="11">
        <v>4</v>
      </c>
      <c r="AA45" s="11">
        <v>4</v>
      </c>
      <c r="AB45" s="11">
        <v>2</v>
      </c>
      <c r="AC45" s="11">
        <v>3</v>
      </c>
      <c r="AD45" s="11">
        <v>0</v>
      </c>
      <c r="AE45" s="11">
        <v>2</v>
      </c>
      <c r="AF45" s="26">
        <v>15</v>
      </c>
      <c r="AG45" s="26">
        <v>5</v>
      </c>
      <c r="AH45" s="28">
        <v>62</v>
      </c>
      <c r="AI45" s="1"/>
      <c r="AJ45" s="1"/>
      <c r="AK45" s="1"/>
      <c r="AL45" s="1"/>
      <c r="AM45" s="1"/>
      <c r="AN45" s="1"/>
      <c r="AO45" s="1"/>
      <c r="AP45" s="1"/>
      <c r="AQ45" s="1"/>
    </row>
    <row r="46" spans="2:43" ht="19.2" customHeight="1" x14ac:dyDescent="0.3">
      <c r="B46" s="8">
        <v>32</v>
      </c>
      <c r="C46" s="15" t="s">
        <v>70</v>
      </c>
      <c r="D46" s="109"/>
      <c r="E46" s="110"/>
      <c r="F46" s="110"/>
      <c r="G46" s="110"/>
      <c r="H46" s="110"/>
      <c r="I46" s="111"/>
      <c r="J46" s="110">
        <f t="shared" si="0"/>
        <v>0</v>
      </c>
      <c r="K46" s="112"/>
      <c r="L46" s="110"/>
      <c r="M46" s="110"/>
      <c r="N46" s="110"/>
      <c r="O46" s="110">
        <f t="shared" si="1"/>
        <v>0</v>
      </c>
      <c r="P46" s="110"/>
      <c r="Q46" s="113"/>
      <c r="R46" s="16"/>
      <c r="S46" s="133">
        <v>6</v>
      </c>
      <c r="T46" s="134">
        <v>5</v>
      </c>
      <c r="U46" s="134">
        <v>6</v>
      </c>
      <c r="V46" s="134">
        <v>3</v>
      </c>
      <c r="W46" s="134">
        <v>5</v>
      </c>
      <c r="X46" s="26">
        <v>25</v>
      </c>
      <c r="Y46" s="26">
        <v>17</v>
      </c>
      <c r="Z46" s="11">
        <v>4</v>
      </c>
      <c r="AA46" s="11">
        <v>3</v>
      </c>
      <c r="AB46" s="11">
        <v>2</v>
      </c>
      <c r="AC46" s="11">
        <v>4</v>
      </c>
      <c r="AD46" s="11">
        <v>2</v>
      </c>
      <c r="AE46" s="11">
        <v>2</v>
      </c>
      <c r="AF46" s="26">
        <v>17</v>
      </c>
      <c r="AG46" s="26">
        <v>5</v>
      </c>
      <c r="AH46" s="28">
        <v>64</v>
      </c>
      <c r="AI46" s="1"/>
      <c r="AJ46" s="1"/>
      <c r="AK46" s="1"/>
      <c r="AL46" s="1"/>
      <c r="AM46" s="1"/>
      <c r="AN46" s="1"/>
      <c r="AO46" s="1"/>
      <c r="AP46" s="1"/>
      <c r="AQ46" s="1"/>
    </row>
    <row r="47" spans="2:43" ht="19.2" customHeight="1" x14ac:dyDescent="0.3">
      <c r="B47" s="8">
        <v>33</v>
      </c>
      <c r="C47" s="15" t="s">
        <v>71</v>
      </c>
      <c r="D47" s="109"/>
      <c r="E47" s="110"/>
      <c r="F47" s="114"/>
      <c r="G47" s="114"/>
      <c r="H47" s="110"/>
      <c r="I47" s="111"/>
      <c r="J47" s="110">
        <f t="shared" si="0"/>
        <v>0</v>
      </c>
      <c r="K47" s="112"/>
      <c r="L47" s="110"/>
      <c r="M47" s="110"/>
      <c r="N47" s="110"/>
      <c r="O47" s="110">
        <f t="shared" si="1"/>
        <v>0</v>
      </c>
      <c r="P47" s="110"/>
      <c r="Q47" s="113"/>
      <c r="R47" s="16"/>
      <c r="S47" s="133">
        <v>5</v>
      </c>
      <c r="T47" s="134">
        <v>4</v>
      </c>
      <c r="U47" s="134">
        <v>7</v>
      </c>
      <c r="V47" s="134">
        <v>4</v>
      </c>
      <c r="W47" s="134">
        <v>5</v>
      </c>
      <c r="X47" s="26">
        <v>25</v>
      </c>
      <c r="Y47" s="26">
        <v>19</v>
      </c>
      <c r="Z47" s="11">
        <v>4</v>
      </c>
      <c r="AA47" s="11">
        <v>3</v>
      </c>
      <c r="AB47" s="11">
        <v>4</v>
      </c>
      <c r="AC47" s="11">
        <v>4</v>
      </c>
      <c r="AD47" s="11">
        <v>1</v>
      </c>
      <c r="AE47" s="11">
        <v>1</v>
      </c>
      <c r="AF47" s="26">
        <v>17</v>
      </c>
      <c r="AG47" s="26">
        <v>5</v>
      </c>
      <c r="AH47" s="28">
        <v>66</v>
      </c>
      <c r="AI47" s="1"/>
      <c r="AJ47" s="1"/>
      <c r="AK47" s="1"/>
      <c r="AL47" s="1"/>
      <c r="AM47" s="1"/>
      <c r="AN47" s="1"/>
      <c r="AO47" s="1"/>
      <c r="AP47" s="1"/>
      <c r="AQ47" s="1"/>
    </row>
    <row r="48" spans="2:43" ht="19.2" customHeight="1" x14ac:dyDescent="0.3">
      <c r="B48" s="8">
        <v>34</v>
      </c>
      <c r="C48" s="15" t="s">
        <v>72</v>
      </c>
      <c r="D48" s="109"/>
      <c r="E48" s="110"/>
      <c r="F48" s="110"/>
      <c r="G48" s="110"/>
      <c r="H48" s="110"/>
      <c r="I48" s="111"/>
      <c r="J48" s="110">
        <f t="shared" si="0"/>
        <v>0</v>
      </c>
      <c r="K48" s="112"/>
      <c r="L48" s="110"/>
      <c r="M48" s="110"/>
      <c r="N48" s="110"/>
      <c r="O48" s="110">
        <f t="shared" si="1"/>
        <v>0</v>
      </c>
      <c r="P48" s="110"/>
      <c r="Q48" s="113"/>
      <c r="R48" s="16"/>
      <c r="S48" s="133">
        <v>4</v>
      </c>
      <c r="T48" s="134">
        <v>4</v>
      </c>
      <c r="U48" s="134">
        <v>5</v>
      </c>
      <c r="V48" s="134">
        <v>2</v>
      </c>
      <c r="W48" s="134">
        <v>4</v>
      </c>
      <c r="X48" s="26">
        <v>19</v>
      </c>
      <c r="Y48" s="26">
        <v>16</v>
      </c>
      <c r="Z48" s="11">
        <v>3</v>
      </c>
      <c r="AA48" s="11">
        <v>4</v>
      </c>
      <c r="AB48" s="11">
        <v>0</v>
      </c>
      <c r="AC48" s="11">
        <v>3</v>
      </c>
      <c r="AD48" s="11">
        <v>0</v>
      </c>
      <c r="AE48" s="11">
        <v>1</v>
      </c>
      <c r="AF48" s="26">
        <v>11</v>
      </c>
      <c r="AG48" s="26">
        <v>5</v>
      </c>
      <c r="AH48" s="28">
        <v>51</v>
      </c>
      <c r="AI48" s="1"/>
      <c r="AJ48" s="1"/>
      <c r="AK48" s="1"/>
      <c r="AL48" s="1"/>
      <c r="AM48" s="1"/>
      <c r="AN48" s="1"/>
      <c r="AO48" s="1"/>
      <c r="AP48" s="1"/>
      <c r="AQ48" s="1"/>
    </row>
    <row r="49" spans="2:43" ht="19.2" customHeight="1" x14ac:dyDescent="0.3">
      <c r="B49" s="8">
        <v>35</v>
      </c>
      <c r="C49" s="15" t="s">
        <v>73</v>
      </c>
      <c r="D49" s="109"/>
      <c r="E49" s="110"/>
      <c r="F49" s="110"/>
      <c r="G49" s="110"/>
      <c r="H49" s="110"/>
      <c r="I49" s="111"/>
      <c r="J49" s="110">
        <f t="shared" si="0"/>
        <v>0</v>
      </c>
      <c r="K49" s="112"/>
      <c r="L49" s="110"/>
      <c r="M49" s="110"/>
      <c r="N49" s="110"/>
      <c r="O49" s="110">
        <f t="shared" si="1"/>
        <v>0</v>
      </c>
      <c r="P49" s="110"/>
      <c r="Q49" s="113"/>
      <c r="R49" s="16"/>
      <c r="S49" s="133">
        <v>5</v>
      </c>
      <c r="T49" s="134">
        <v>4</v>
      </c>
      <c r="U49" s="134">
        <v>6</v>
      </c>
      <c r="V49" s="134">
        <v>3</v>
      </c>
      <c r="W49" s="134">
        <v>6</v>
      </c>
      <c r="X49" s="26">
        <v>24</v>
      </c>
      <c r="Y49" s="26">
        <v>11</v>
      </c>
      <c r="Z49" s="11">
        <v>3</v>
      </c>
      <c r="AA49" s="11">
        <v>4</v>
      </c>
      <c r="AB49" s="11">
        <v>0</v>
      </c>
      <c r="AC49" s="11">
        <v>2</v>
      </c>
      <c r="AD49" s="11">
        <v>1</v>
      </c>
      <c r="AE49" s="11">
        <v>1</v>
      </c>
      <c r="AF49" s="26">
        <v>11</v>
      </c>
      <c r="AG49" s="26">
        <v>5</v>
      </c>
      <c r="AH49" s="28">
        <v>51</v>
      </c>
      <c r="AI49" s="1"/>
      <c r="AJ49" s="1"/>
      <c r="AK49" s="1"/>
      <c r="AL49" s="1"/>
      <c r="AM49" s="1"/>
      <c r="AN49" s="1"/>
      <c r="AO49" s="1"/>
      <c r="AP49" s="1"/>
      <c r="AQ49" s="1"/>
    </row>
    <row r="50" spans="2:43" ht="19.2" customHeight="1" x14ac:dyDescent="0.3">
      <c r="B50" s="8">
        <v>36</v>
      </c>
      <c r="C50" s="15" t="s">
        <v>74</v>
      </c>
      <c r="D50" s="109"/>
      <c r="E50" s="110"/>
      <c r="F50" s="110"/>
      <c r="G50" s="110"/>
      <c r="H50" s="114"/>
      <c r="I50" s="111"/>
      <c r="J50" s="110">
        <f t="shared" si="0"/>
        <v>0</v>
      </c>
      <c r="K50" s="112"/>
      <c r="L50" s="110"/>
      <c r="M50" s="110"/>
      <c r="N50" s="110"/>
      <c r="O50" s="110">
        <f t="shared" si="1"/>
        <v>0</v>
      </c>
      <c r="P50" s="110"/>
      <c r="Q50" s="113"/>
      <c r="R50" s="16"/>
      <c r="S50" s="133">
        <v>4</v>
      </c>
      <c r="T50" s="134">
        <v>4</v>
      </c>
      <c r="U50" s="134">
        <v>7</v>
      </c>
      <c r="V50" s="134">
        <v>4</v>
      </c>
      <c r="W50" s="134">
        <v>5</v>
      </c>
      <c r="X50" s="26">
        <v>24</v>
      </c>
      <c r="Y50" s="26">
        <v>15</v>
      </c>
      <c r="Z50" s="11">
        <v>3</v>
      </c>
      <c r="AA50" s="11">
        <v>3</v>
      </c>
      <c r="AB50" s="11">
        <v>2</v>
      </c>
      <c r="AC50" s="11">
        <v>4</v>
      </c>
      <c r="AD50" s="11">
        <v>1</v>
      </c>
      <c r="AE50" s="11">
        <v>2</v>
      </c>
      <c r="AF50" s="26">
        <v>15</v>
      </c>
      <c r="AG50" s="26">
        <v>5</v>
      </c>
      <c r="AH50" s="28">
        <v>59</v>
      </c>
      <c r="AI50" s="1"/>
      <c r="AJ50" s="1"/>
      <c r="AK50" s="1"/>
      <c r="AL50" s="1"/>
      <c r="AM50" s="1"/>
      <c r="AN50" s="1"/>
      <c r="AO50" s="1"/>
      <c r="AP50" s="1"/>
      <c r="AQ50" s="1"/>
    </row>
    <row r="51" spans="2:43" ht="19.2" customHeight="1" x14ac:dyDescent="0.3">
      <c r="B51" s="8">
        <v>37</v>
      </c>
      <c r="C51" s="15" t="s">
        <v>75</v>
      </c>
      <c r="D51" s="109"/>
      <c r="E51" s="110"/>
      <c r="F51" s="110"/>
      <c r="G51" s="110"/>
      <c r="H51" s="110"/>
      <c r="I51" s="111"/>
      <c r="J51" s="110">
        <f t="shared" si="0"/>
        <v>0</v>
      </c>
      <c r="K51" s="112"/>
      <c r="L51" s="110"/>
      <c r="M51" s="110"/>
      <c r="N51" s="110"/>
      <c r="O51" s="110">
        <f t="shared" si="1"/>
        <v>0</v>
      </c>
      <c r="P51" s="110"/>
      <c r="Q51" s="113"/>
      <c r="R51" s="16"/>
      <c r="S51" s="133">
        <v>5</v>
      </c>
      <c r="T51" s="134">
        <v>4</v>
      </c>
      <c r="U51" s="134">
        <v>7</v>
      </c>
      <c r="V51" s="134">
        <v>3</v>
      </c>
      <c r="W51" s="134">
        <v>4</v>
      </c>
      <c r="X51" s="26">
        <v>23</v>
      </c>
      <c r="Y51" s="26">
        <v>20</v>
      </c>
      <c r="Z51" s="11">
        <v>2</v>
      </c>
      <c r="AA51" s="11">
        <v>2</v>
      </c>
      <c r="AB51" s="11">
        <v>1</v>
      </c>
      <c r="AC51" s="11">
        <v>2</v>
      </c>
      <c r="AD51" s="11">
        <v>1</v>
      </c>
      <c r="AE51" s="11">
        <v>1</v>
      </c>
      <c r="AF51" s="26">
        <v>9</v>
      </c>
      <c r="AG51" s="26">
        <v>5</v>
      </c>
      <c r="AH51" s="28">
        <v>57</v>
      </c>
      <c r="AI51" s="1"/>
      <c r="AJ51" s="1"/>
      <c r="AK51" s="1"/>
      <c r="AL51" s="1"/>
      <c r="AM51" s="1"/>
      <c r="AN51" s="1"/>
      <c r="AO51" s="1"/>
      <c r="AP51" s="1"/>
      <c r="AQ51" s="1"/>
    </row>
    <row r="52" spans="2:43" ht="19.2" customHeight="1" x14ac:dyDescent="0.3">
      <c r="B52" s="8">
        <v>38</v>
      </c>
      <c r="C52" s="15" t="s">
        <v>76</v>
      </c>
      <c r="D52" s="109"/>
      <c r="E52" s="110"/>
      <c r="F52" s="110"/>
      <c r="G52" s="110"/>
      <c r="H52" s="110"/>
      <c r="I52" s="111"/>
      <c r="J52" s="110">
        <f t="shared" si="0"/>
        <v>0</v>
      </c>
      <c r="K52" s="112"/>
      <c r="L52" s="110"/>
      <c r="M52" s="110"/>
      <c r="N52" s="110"/>
      <c r="O52" s="110">
        <f t="shared" si="1"/>
        <v>0</v>
      </c>
      <c r="P52" s="110"/>
      <c r="Q52" s="113"/>
      <c r="R52" s="16"/>
      <c r="S52" s="133">
        <v>5</v>
      </c>
      <c r="T52" s="134">
        <v>4</v>
      </c>
      <c r="U52" s="134">
        <v>6</v>
      </c>
      <c r="V52" s="134">
        <v>4</v>
      </c>
      <c r="W52" s="134">
        <v>4</v>
      </c>
      <c r="X52" s="26">
        <v>23</v>
      </c>
      <c r="Y52" s="26">
        <v>17</v>
      </c>
      <c r="Z52" s="11">
        <v>2</v>
      </c>
      <c r="AA52" s="11">
        <v>3</v>
      </c>
      <c r="AB52" s="11">
        <v>0</v>
      </c>
      <c r="AC52" s="11">
        <v>3</v>
      </c>
      <c r="AD52" s="11">
        <v>0</v>
      </c>
      <c r="AE52" s="11">
        <v>0</v>
      </c>
      <c r="AF52" s="26">
        <v>8</v>
      </c>
      <c r="AG52" s="26">
        <v>5</v>
      </c>
      <c r="AH52" s="28">
        <v>53</v>
      </c>
      <c r="AI52" s="1"/>
      <c r="AJ52" s="1"/>
      <c r="AK52" s="1"/>
      <c r="AL52" s="1"/>
      <c r="AM52" s="1"/>
      <c r="AN52" s="1"/>
      <c r="AO52" s="1"/>
      <c r="AP52" s="1"/>
      <c r="AQ52" s="1"/>
    </row>
    <row r="53" spans="2:43" ht="19.2" customHeight="1" x14ac:dyDescent="0.3">
      <c r="B53" s="8">
        <v>39</v>
      </c>
      <c r="C53" s="15" t="s">
        <v>77</v>
      </c>
      <c r="D53" s="109"/>
      <c r="E53" s="110"/>
      <c r="F53" s="110"/>
      <c r="G53" s="110"/>
      <c r="H53" s="110"/>
      <c r="I53" s="111"/>
      <c r="J53" s="110">
        <f t="shared" si="0"/>
        <v>0</v>
      </c>
      <c r="K53" s="112"/>
      <c r="L53" s="110"/>
      <c r="M53" s="110"/>
      <c r="N53" s="110"/>
      <c r="O53" s="110">
        <f t="shared" si="1"/>
        <v>0</v>
      </c>
      <c r="P53" s="110"/>
      <c r="Q53" s="113"/>
      <c r="R53" s="16"/>
      <c r="S53" s="133">
        <v>5</v>
      </c>
      <c r="T53" s="134">
        <v>6</v>
      </c>
      <c r="U53" s="134">
        <v>7</v>
      </c>
      <c r="V53" s="134">
        <v>3</v>
      </c>
      <c r="W53" s="134">
        <v>4</v>
      </c>
      <c r="X53" s="26">
        <v>25</v>
      </c>
      <c r="Y53" s="26">
        <v>17</v>
      </c>
      <c r="Z53" s="11">
        <v>4</v>
      </c>
      <c r="AA53" s="11">
        <v>3</v>
      </c>
      <c r="AB53" s="11">
        <v>2</v>
      </c>
      <c r="AC53" s="11">
        <v>3</v>
      </c>
      <c r="AD53" s="11">
        <v>0</v>
      </c>
      <c r="AE53" s="11">
        <v>1</v>
      </c>
      <c r="AF53" s="26">
        <v>13</v>
      </c>
      <c r="AG53" s="26">
        <v>5</v>
      </c>
      <c r="AH53" s="28">
        <v>60</v>
      </c>
      <c r="AI53" s="1"/>
      <c r="AJ53" s="1"/>
      <c r="AK53" s="1"/>
      <c r="AL53" s="1"/>
      <c r="AM53" s="1"/>
      <c r="AN53" s="1"/>
      <c r="AO53" s="1"/>
      <c r="AP53" s="1"/>
      <c r="AQ53" s="1"/>
    </row>
    <row r="54" spans="2:43" ht="19.2" customHeight="1" x14ac:dyDescent="0.3">
      <c r="B54" s="8">
        <v>40</v>
      </c>
      <c r="C54" s="15" t="s">
        <v>78</v>
      </c>
      <c r="D54" s="109"/>
      <c r="E54" s="110"/>
      <c r="F54" s="110"/>
      <c r="G54" s="110"/>
      <c r="H54" s="110"/>
      <c r="I54" s="111"/>
      <c r="J54" s="110">
        <f t="shared" si="0"/>
        <v>0</v>
      </c>
      <c r="K54" s="112"/>
      <c r="L54" s="110"/>
      <c r="M54" s="110"/>
      <c r="N54" s="110"/>
      <c r="O54" s="110">
        <f t="shared" si="1"/>
        <v>0</v>
      </c>
      <c r="P54" s="110"/>
      <c r="Q54" s="113"/>
      <c r="R54" s="16"/>
      <c r="S54" s="133">
        <v>6</v>
      </c>
      <c r="T54" s="134">
        <v>6</v>
      </c>
      <c r="U54" s="134">
        <v>7</v>
      </c>
      <c r="V54" s="134">
        <v>4</v>
      </c>
      <c r="W54" s="134">
        <v>6</v>
      </c>
      <c r="X54" s="26">
        <v>29</v>
      </c>
      <c r="Y54" s="26">
        <v>19</v>
      </c>
      <c r="Z54" s="11">
        <v>4</v>
      </c>
      <c r="AA54" s="11">
        <v>4</v>
      </c>
      <c r="AB54" s="11">
        <v>4</v>
      </c>
      <c r="AC54" s="11">
        <v>4</v>
      </c>
      <c r="AD54" s="11">
        <v>1</v>
      </c>
      <c r="AE54" s="11">
        <v>2</v>
      </c>
      <c r="AF54" s="26">
        <v>19</v>
      </c>
      <c r="AG54" s="26">
        <v>5</v>
      </c>
      <c r="AH54" s="28">
        <v>72</v>
      </c>
      <c r="AI54" s="1"/>
      <c r="AJ54" s="1"/>
      <c r="AK54" s="1"/>
      <c r="AL54" s="1"/>
      <c r="AM54" s="1"/>
      <c r="AN54" s="1"/>
      <c r="AO54" s="1"/>
      <c r="AP54" s="1"/>
      <c r="AQ54" s="1"/>
    </row>
    <row r="55" spans="2:43" ht="19.2" customHeight="1" x14ac:dyDescent="0.3">
      <c r="B55" s="8">
        <v>41</v>
      </c>
      <c r="C55" s="15" t="s">
        <v>79</v>
      </c>
      <c r="D55" s="109"/>
      <c r="E55" s="110"/>
      <c r="F55" s="110"/>
      <c r="G55" s="110"/>
      <c r="H55" s="110"/>
      <c r="I55" s="111"/>
      <c r="J55" s="110">
        <f t="shared" si="0"/>
        <v>0</v>
      </c>
      <c r="K55" s="112"/>
      <c r="L55" s="110"/>
      <c r="M55" s="110"/>
      <c r="N55" s="110"/>
      <c r="O55" s="110">
        <f t="shared" si="1"/>
        <v>0</v>
      </c>
      <c r="P55" s="110"/>
      <c r="Q55" s="113"/>
      <c r="R55" s="16"/>
      <c r="S55" s="133">
        <v>6</v>
      </c>
      <c r="T55" s="134">
        <v>6</v>
      </c>
      <c r="U55" s="134">
        <v>8</v>
      </c>
      <c r="V55" s="134">
        <v>4</v>
      </c>
      <c r="W55" s="134">
        <v>4</v>
      </c>
      <c r="X55" s="26">
        <v>28</v>
      </c>
      <c r="Y55" s="26">
        <v>14</v>
      </c>
      <c r="Z55" s="11">
        <v>4</v>
      </c>
      <c r="AA55" s="11">
        <v>3</v>
      </c>
      <c r="AB55" s="11">
        <v>4</v>
      </c>
      <c r="AC55" s="11">
        <v>3</v>
      </c>
      <c r="AD55" s="11">
        <v>0</v>
      </c>
      <c r="AE55" s="11">
        <v>0</v>
      </c>
      <c r="AF55" s="26">
        <v>14</v>
      </c>
      <c r="AG55" s="26">
        <v>5</v>
      </c>
      <c r="AH55" s="28">
        <v>61</v>
      </c>
      <c r="AI55" s="1"/>
      <c r="AJ55" s="1"/>
      <c r="AK55" s="1"/>
      <c r="AL55" s="1"/>
      <c r="AM55" s="1"/>
      <c r="AN55" s="1"/>
      <c r="AO55" s="1"/>
      <c r="AP55" s="1"/>
      <c r="AQ55" s="1"/>
    </row>
    <row r="56" spans="2:43" ht="19.2" customHeight="1" x14ac:dyDescent="0.3">
      <c r="B56" s="8">
        <v>42</v>
      </c>
      <c r="C56" s="15" t="s">
        <v>80</v>
      </c>
      <c r="D56" s="109"/>
      <c r="E56" s="110"/>
      <c r="F56" s="110"/>
      <c r="G56" s="110"/>
      <c r="H56" s="110"/>
      <c r="I56" s="111"/>
      <c r="J56" s="110">
        <f t="shared" si="0"/>
        <v>0</v>
      </c>
      <c r="K56" s="112"/>
      <c r="L56" s="110"/>
      <c r="M56" s="110"/>
      <c r="N56" s="110"/>
      <c r="O56" s="110">
        <f t="shared" si="1"/>
        <v>0</v>
      </c>
      <c r="P56" s="110"/>
      <c r="Q56" s="113"/>
      <c r="R56" s="16"/>
      <c r="S56" s="133">
        <v>6</v>
      </c>
      <c r="T56" s="134">
        <v>6</v>
      </c>
      <c r="U56" s="134">
        <v>8</v>
      </c>
      <c r="V56" s="134">
        <v>4</v>
      </c>
      <c r="W56" s="134">
        <v>6</v>
      </c>
      <c r="X56" s="26">
        <v>30</v>
      </c>
      <c r="Y56" s="26">
        <v>17</v>
      </c>
      <c r="Z56" s="11">
        <v>4</v>
      </c>
      <c r="AA56" s="11">
        <v>4</v>
      </c>
      <c r="AB56" s="11">
        <v>2</v>
      </c>
      <c r="AC56" s="11">
        <v>4</v>
      </c>
      <c r="AD56" s="11">
        <v>1</v>
      </c>
      <c r="AE56" s="11">
        <v>2</v>
      </c>
      <c r="AF56" s="26">
        <v>17</v>
      </c>
      <c r="AG56" s="26">
        <v>5</v>
      </c>
      <c r="AH56" s="28">
        <v>69</v>
      </c>
      <c r="AI56" s="1"/>
      <c r="AJ56" s="1"/>
      <c r="AK56" s="1"/>
      <c r="AL56" s="1"/>
      <c r="AM56" s="1"/>
      <c r="AN56" s="1"/>
      <c r="AO56" s="1"/>
      <c r="AP56" s="1"/>
      <c r="AQ56" s="1"/>
    </row>
    <row r="57" spans="2:43" ht="19.2" customHeight="1" x14ac:dyDescent="0.3">
      <c r="B57" s="8">
        <v>43</v>
      </c>
      <c r="C57" s="15" t="s">
        <v>81</v>
      </c>
      <c r="D57" s="109"/>
      <c r="E57" s="110"/>
      <c r="F57" s="110"/>
      <c r="G57" s="110"/>
      <c r="H57" s="110"/>
      <c r="I57" s="111"/>
      <c r="J57" s="110">
        <f t="shared" si="0"/>
        <v>0</v>
      </c>
      <c r="K57" s="112"/>
      <c r="L57" s="110"/>
      <c r="M57" s="110"/>
      <c r="N57" s="110"/>
      <c r="O57" s="110">
        <f t="shared" si="1"/>
        <v>0</v>
      </c>
      <c r="P57" s="110"/>
      <c r="Q57" s="113"/>
      <c r="R57" s="16"/>
      <c r="S57" s="133">
        <v>5</v>
      </c>
      <c r="T57" s="134">
        <v>5</v>
      </c>
      <c r="U57" s="134">
        <v>6</v>
      </c>
      <c r="V57" s="134">
        <v>4</v>
      </c>
      <c r="W57" s="134">
        <v>4</v>
      </c>
      <c r="X57" s="26">
        <v>24</v>
      </c>
      <c r="Y57" s="26">
        <v>18</v>
      </c>
      <c r="Z57" s="11">
        <v>4</v>
      </c>
      <c r="AA57" s="11">
        <v>3</v>
      </c>
      <c r="AB57" s="11">
        <v>2</v>
      </c>
      <c r="AC57" s="11">
        <v>3</v>
      </c>
      <c r="AD57" s="11">
        <v>1</v>
      </c>
      <c r="AE57" s="11">
        <v>1</v>
      </c>
      <c r="AF57" s="26">
        <v>14</v>
      </c>
      <c r="AG57" s="26">
        <v>5</v>
      </c>
      <c r="AH57" s="28">
        <v>61</v>
      </c>
      <c r="AI57" s="1"/>
      <c r="AJ57" s="1"/>
      <c r="AK57" s="1"/>
      <c r="AL57" s="1"/>
      <c r="AM57" s="1"/>
      <c r="AN57" s="1"/>
      <c r="AO57" s="1"/>
      <c r="AP57" s="1"/>
      <c r="AQ57" s="1"/>
    </row>
    <row r="58" spans="2:43" ht="19.2" customHeight="1" x14ac:dyDescent="0.3">
      <c r="B58" s="8">
        <v>44</v>
      </c>
      <c r="C58" s="15" t="s">
        <v>82</v>
      </c>
      <c r="D58" s="109"/>
      <c r="E58" s="110"/>
      <c r="F58" s="110"/>
      <c r="G58" s="114"/>
      <c r="H58" s="110"/>
      <c r="I58" s="111"/>
      <c r="J58" s="110">
        <f t="shared" si="0"/>
        <v>0</v>
      </c>
      <c r="K58" s="112"/>
      <c r="L58" s="110"/>
      <c r="M58" s="110"/>
      <c r="N58" s="110"/>
      <c r="O58" s="110">
        <f t="shared" si="1"/>
        <v>0</v>
      </c>
      <c r="P58" s="110"/>
      <c r="Q58" s="113"/>
      <c r="R58" s="16"/>
      <c r="S58" s="133">
        <v>4</v>
      </c>
      <c r="T58" s="134">
        <v>4</v>
      </c>
      <c r="U58" s="134">
        <v>4</v>
      </c>
      <c r="V58" s="134">
        <v>3</v>
      </c>
      <c r="W58" s="134">
        <v>2</v>
      </c>
      <c r="X58" s="26">
        <v>17</v>
      </c>
      <c r="Y58" s="26">
        <v>18</v>
      </c>
      <c r="Z58" s="11">
        <v>3</v>
      </c>
      <c r="AA58" s="11">
        <v>2</v>
      </c>
      <c r="AB58" s="11">
        <v>0</v>
      </c>
      <c r="AC58" s="11">
        <v>2</v>
      </c>
      <c r="AD58" s="11">
        <v>0</v>
      </c>
      <c r="AE58" s="11">
        <v>0</v>
      </c>
      <c r="AF58" s="26">
        <v>7</v>
      </c>
      <c r="AG58" s="26">
        <v>5</v>
      </c>
      <c r="AH58" s="28">
        <v>47</v>
      </c>
      <c r="AI58" s="1"/>
      <c r="AJ58" s="1"/>
      <c r="AK58" s="1"/>
      <c r="AL58" s="1"/>
      <c r="AM58" s="1"/>
      <c r="AN58" s="1"/>
      <c r="AO58" s="1"/>
      <c r="AP58" s="1"/>
      <c r="AQ58" s="1"/>
    </row>
    <row r="59" spans="2:43" ht="19.2" customHeight="1" x14ac:dyDescent="0.3">
      <c r="B59" s="8">
        <v>45</v>
      </c>
      <c r="C59" s="15" t="s">
        <v>83</v>
      </c>
      <c r="D59" s="109"/>
      <c r="E59" s="110"/>
      <c r="F59" s="110"/>
      <c r="G59" s="110"/>
      <c r="H59" s="114"/>
      <c r="I59" s="111"/>
      <c r="J59" s="110">
        <f t="shared" si="0"/>
        <v>0</v>
      </c>
      <c r="K59" s="112"/>
      <c r="L59" s="110"/>
      <c r="M59" s="110"/>
      <c r="N59" s="110"/>
      <c r="O59" s="110">
        <f t="shared" si="1"/>
        <v>0</v>
      </c>
      <c r="P59" s="110"/>
      <c r="Q59" s="113"/>
      <c r="R59" s="16"/>
      <c r="S59" s="133">
        <v>4</v>
      </c>
      <c r="T59" s="134">
        <v>5</v>
      </c>
      <c r="U59" s="134">
        <v>6</v>
      </c>
      <c r="V59" s="134">
        <v>4</v>
      </c>
      <c r="W59" s="134">
        <v>5</v>
      </c>
      <c r="X59" s="26">
        <v>24</v>
      </c>
      <c r="Y59" s="26">
        <v>18</v>
      </c>
      <c r="Z59" s="11">
        <v>4</v>
      </c>
      <c r="AA59" s="11">
        <v>3</v>
      </c>
      <c r="AB59" s="11">
        <v>2</v>
      </c>
      <c r="AC59" s="11">
        <v>4</v>
      </c>
      <c r="AD59" s="11">
        <v>0</v>
      </c>
      <c r="AE59" s="11">
        <v>2</v>
      </c>
      <c r="AF59" s="26">
        <v>15</v>
      </c>
      <c r="AG59" s="26">
        <v>5</v>
      </c>
      <c r="AH59" s="28">
        <v>62</v>
      </c>
      <c r="AI59" s="1"/>
      <c r="AJ59" s="1"/>
      <c r="AK59" s="1"/>
      <c r="AL59" s="1"/>
      <c r="AM59" s="1"/>
      <c r="AN59" s="1"/>
      <c r="AO59" s="1"/>
      <c r="AP59" s="1"/>
      <c r="AQ59" s="1"/>
    </row>
    <row r="60" spans="2:43" ht="19.2" customHeight="1" x14ac:dyDescent="0.3">
      <c r="B60" s="8">
        <v>46</v>
      </c>
      <c r="C60" s="15" t="s">
        <v>84</v>
      </c>
      <c r="D60" s="109"/>
      <c r="E60" s="110"/>
      <c r="F60" s="110"/>
      <c r="G60" s="110"/>
      <c r="H60" s="110"/>
      <c r="I60" s="111"/>
      <c r="J60" s="110">
        <f t="shared" si="0"/>
        <v>0</v>
      </c>
      <c r="K60" s="112"/>
      <c r="L60" s="110"/>
      <c r="M60" s="110"/>
      <c r="N60" s="110"/>
      <c r="O60" s="110">
        <f t="shared" si="1"/>
        <v>0</v>
      </c>
      <c r="P60" s="110"/>
      <c r="Q60" s="113"/>
      <c r="R60" s="16"/>
      <c r="S60" s="133">
        <v>4</v>
      </c>
      <c r="T60" s="134">
        <v>4</v>
      </c>
      <c r="U60" s="134">
        <v>6</v>
      </c>
      <c r="V60" s="134">
        <v>4</v>
      </c>
      <c r="W60" s="134">
        <v>0</v>
      </c>
      <c r="X60" s="26">
        <v>18</v>
      </c>
      <c r="Y60" s="26">
        <v>17</v>
      </c>
      <c r="Z60" s="11">
        <v>4</v>
      </c>
      <c r="AA60" s="11">
        <v>3</v>
      </c>
      <c r="AB60" s="11">
        <v>1</v>
      </c>
      <c r="AC60" s="11">
        <v>3</v>
      </c>
      <c r="AD60" s="11">
        <v>0</v>
      </c>
      <c r="AE60" s="11">
        <v>0</v>
      </c>
      <c r="AF60" s="26">
        <v>11</v>
      </c>
      <c r="AG60" s="26">
        <v>0</v>
      </c>
      <c r="AH60" s="28">
        <v>46</v>
      </c>
      <c r="AI60" s="1"/>
      <c r="AJ60" s="1"/>
      <c r="AK60" s="1"/>
      <c r="AL60" s="1"/>
      <c r="AM60" s="1"/>
      <c r="AN60" s="1"/>
      <c r="AO60" s="1"/>
      <c r="AP60" s="1"/>
      <c r="AQ60" s="1"/>
    </row>
    <row r="61" spans="2:43" ht="19.2" customHeight="1" x14ac:dyDescent="0.3">
      <c r="B61" s="8">
        <v>47</v>
      </c>
      <c r="C61" s="15" t="s">
        <v>85</v>
      </c>
      <c r="D61" s="109"/>
      <c r="E61" s="110"/>
      <c r="F61" s="110"/>
      <c r="G61" s="114"/>
      <c r="H61" s="110"/>
      <c r="I61" s="111"/>
      <c r="J61" s="110">
        <f t="shared" si="0"/>
        <v>0</v>
      </c>
      <c r="K61" s="112"/>
      <c r="L61" s="110"/>
      <c r="M61" s="110"/>
      <c r="N61" s="110"/>
      <c r="O61" s="110">
        <f t="shared" si="1"/>
        <v>0</v>
      </c>
      <c r="P61" s="110"/>
      <c r="Q61" s="113"/>
      <c r="R61" s="16"/>
      <c r="S61" s="133">
        <v>5</v>
      </c>
      <c r="T61" s="134">
        <v>6</v>
      </c>
      <c r="U61" s="134">
        <v>7</v>
      </c>
      <c r="V61" s="134">
        <v>3</v>
      </c>
      <c r="W61" s="134">
        <v>5</v>
      </c>
      <c r="X61" s="26">
        <v>26</v>
      </c>
      <c r="Y61" s="26">
        <v>18</v>
      </c>
      <c r="Z61" s="11">
        <v>4</v>
      </c>
      <c r="AA61" s="11">
        <v>4</v>
      </c>
      <c r="AB61" s="11">
        <v>2</v>
      </c>
      <c r="AC61" s="11">
        <v>3</v>
      </c>
      <c r="AD61" s="11">
        <v>1</v>
      </c>
      <c r="AE61" s="11">
        <v>2</v>
      </c>
      <c r="AF61" s="26">
        <v>16</v>
      </c>
      <c r="AG61" s="26">
        <v>5</v>
      </c>
      <c r="AH61" s="28">
        <v>65</v>
      </c>
      <c r="AI61" s="1"/>
      <c r="AJ61" s="1"/>
      <c r="AK61" s="1"/>
      <c r="AL61" s="1"/>
      <c r="AM61" s="1"/>
      <c r="AN61" s="1"/>
      <c r="AO61" s="1"/>
      <c r="AP61" s="1"/>
      <c r="AQ61" s="1"/>
    </row>
    <row r="62" spans="2:43" ht="19.2" customHeight="1" x14ac:dyDescent="0.3">
      <c r="B62" s="8">
        <v>48</v>
      </c>
      <c r="C62" s="15" t="s">
        <v>86</v>
      </c>
      <c r="D62" s="109"/>
      <c r="E62" s="110"/>
      <c r="F62" s="110"/>
      <c r="G62" s="110"/>
      <c r="H62" s="110"/>
      <c r="I62" s="111"/>
      <c r="J62" s="110">
        <f t="shared" si="0"/>
        <v>0</v>
      </c>
      <c r="K62" s="112"/>
      <c r="L62" s="110"/>
      <c r="M62" s="110"/>
      <c r="N62" s="110"/>
      <c r="O62" s="110">
        <f t="shared" si="1"/>
        <v>0</v>
      </c>
      <c r="P62" s="110"/>
      <c r="Q62" s="113"/>
      <c r="R62" s="16"/>
      <c r="S62" s="133">
        <v>5</v>
      </c>
      <c r="T62" s="134">
        <v>4</v>
      </c>
      <c r="U62" s="134">
        <v>7</v>
      </c>
      <c r="V62" s="134">
        <v>3</v>
      </c>
      <c r="W62" s="134">
        <v>5</v>
      </c>
      <c r="X62" s="26">
        <v>24</v>
      </c>
      <c r="Y62" s="26">
        <v>18</v>
      </c>
      <c r="Z62" s="11">
        <v>3</v>
      </c>
      <c r="AA62" s="11">
        <v>3</v>
      </c>
      <c r="AB62" s="11">
        <v>4</v>
      </c>
      <c r="AC62" s="11">
        <v>4</v>
      </c>
      <c r="AD62" s="11">
        <v>0</v>
      </c>
      <c r="AE62" s="11">
        <v>1</v>
      </c>
      <c r="AF62" s="26">
        <v>15</v>
      </c>
      <c r="AG62" s="26">
        <v>5</v>
      </c>
      <c r="AH62" s="28">
        <v>62</v>
      </c>
      <c r="AI62" s="1"/>
      <c r="AJ62" s="1"/>
      <c r="AK62" s="1"/>
      <c r="AL62" s="1"/>
      <c r="AM62" s="1"/>
      <c r="AN62" s="1"/>
      <c r="AO62" s="1"/>
      <c r="AP62" s="1"/>
      <c r="AQ62" s="1"/>
    </row>
    <row r="63" spans="2:43" ht="19.2" customHeight="1" x14ac:dyDescent="0.3">
      <c r="B63" s="8">
        <v>49</v>
      </c>
      <c r="C63" s="15" t="s">
        <v>87</v>
      </c>
      <c r="D63" s="109"/>
      <c r="E63" s="110"/>
      <c r="F63" s="110"/>
      <c r="G63" s="110"/>
      <c r="H63" s="110"/>
      <c r="I63" s="111"/>
      <c r="J63" s="110">
        <f t="shared" si="0"/>
        <v>0</v>
      </c>
      <c r="K63" s="112"/>
      <c r="L63" s="110"/>
      <c r="M63" s="110"/>
      <c r="N63" s="110"/>
      <c r="O63" s="110">
        <f t="shared" si="1"/>
        <v>0</v>
      </c>
      <c r="P63" s="110"/>
      <c r="Q63" s="113"/>
      <c r="R63" s="16"/>
      <c r="S63" s="133">
        <v>4</v>
      </c>
      <c r="T63" s="134">
        <v>4</v>
      </c>
      <c r="U63" s="134">
        <v>7</v>
      </c>
      <c r="V63" s="134">
        <v>3</v>
      </c>
      <c r="W63" s="134">
        <v>3</v>
      </c>
      <c r="X63" s="26">
        <v>21</v>
      </c>
      <c r="Y63" s="26">
        <v>18</v>
      </c>
      <c r="Z63" s="11">
        <v>4</v>
      </c>
      <c r="AA63" s="11">
        <v>4</v>
      </c>
      <c r="AB63" s="11">
        <v>4</v>
      </c>
      <c r="AC63" s="11">
        <v>3</v>
      </c>
      <c r="AD63" s="11">
        <v>0</v>
      </c>
      <c r="AE63" s="11">
        <v>0</v>
      </c>
      <c r="AF63" s="26">
        <v>15</v>
      </c>
      <c r="AG63" s="26">
        <v>5</v>
      </c>
      <c r="AH63" s="28">
        <v>59</v>
      </c>
      <c r="AI63" s="1"/>
      <c r="AJ63" s="1"/>
      <c r="AK63" s="1"/>
      <c r="AL63" s="1"/>
      <c r="AM63" s="1"/>
      <c r="AN63" s="1"/>
      <c r="AO63" s="1"/>
      <c r="AP63" s="1"/>
      <c r="AQ63" s="1"/>
    </row>
    <row r="64" spans="2:43" ht="19.2" customHeight="1" x14ac:dyDescent="0.3">
      <c r="B64" s="8">
        <v>50</v>
      </c>
      <c r="C64" s="15" t="s">
        <v>88</v>
      </c>
      <c r="D64" s="109"/>
      <c r="E64" s="110"/>
      <c r="F64" s="110"/>
      <c r="G64" s="110"/>
      <c r="H64" s="110"/>
      <c r="I64" s="111"/>
      <c r="J64" s="110">
        <f t="shared" si="0"/>
        <v>0</v>
      </c>
      <c r="K64" s="112"/>
      <c r="L64" s="110"/>
      <c r="M64" s="110"/>
      <c r="N64" s="110"/>
      <c r="O64" s="110">
        <f t="shared" si="1"/>
        <v>0</v>
      </c>
      <c r="P64" s="110"/>
      <c r="Q64" s="113"/>
      <c r="R64" s="16"/>
      <c r="S64" s="133">
        <v>5</v>
      </c>
      <c r="T64" s="134">
        <v>6</v>
      </c>
      <c r="U64" s="134">
        <v>7</v>
      </c>
      <c r="V64" s="134">
        <v>3</v>
      </c>
      <c r="W64" s="134">
        <v>5</v>
      </c>
      <c r="X64" s="26">
        <v>26</v>
      </c>
      <c r="Y64" s="26">
        <v>18</v>
      </c>
      <c r="Z64" s="11">
        <v>4</v>
      </c>
      <c r="AA64" s="11">
        <v>3</v>
      </c>
      <c r="AB64" s="11">
        <v>4</v>
      </c>
      <c r="AC64" s="11">
        <v>3</v>
      </c>
      <c r="AD64" s="11">
        <v>0</v>
      </c>
      <c r="AE64" s="11">
        <v>1</v>
      </c>
      <c r="AF64" s="26">
        <v>15</v>
      </c>
      <c r="AG64" s="26">
        <v>5</v>
      </c>
      <c r="AH64" s="28">
        <v>64</v>
      </c>
      <c r="AI64" s="1"/>
      <c r="AJ64" s="1"/>
      <c r="AK64" s="1"/>
      <c r="AL64" s="1"/>
      <c r="AM64" s="1"/>
      <c r="AN64" s="1"/>
      <c r="AO64" s="1"/>
      <c r="AP64" s="1"/>
      <c r="AQ64" s="1"/>
    </row>
    <row r="65" spans="2:43" ht="19.2" customHeight="1" x14ac:dyDescent="0.3">
      <c r="B65" s="8">
        <v>51</v>
      </c>
      <c r="C65" s="15" t="s">
        <v>89</v>
      </c>
      <c r="D65" s="109"/>
      <c r="E65" s="110"/>
      <c r="F65" s="110"/>
      <c r="G65" s="110"/>
      <c r="H65" s="110"/>
      <c r="I65" s="111"/>
      <c r="J65" s="110">
        <f t="shared" si="0"/>
        <v>0</v>
      </c>
      <c r="K65" s="112"/>
      <c r="L65" s="110"/>
      <c r="M65" s="110"/>
      <c r="N65" s="110"/>
      <c r="O65" s="110">
        <f t="shared" si="1"/>
        <v>0</v>
      </c>
      <c r="P65" s="110"/>
      <c r="Q65" s="113"/>
      <c r="R65" s="16"/>
      <c r="S65" s="133">
        <v>5</v>
      </c>
      <c r="T65" s="134">
        <v>5</v>
      </c>
      <c r="U65" s="134">
        <v>7</v>
      </c>
      <c r="V65" s="134">
        <v>4</v>
      </c>
      <c r="W65" s="134">
        <v>0</v>
      </c>
      <c r="X65" s="26">
        <v>21</v>
      </c>
      <c r="Y65" s="26">
        <v>18</v>
      </c>
      <c r="Z65" s="11">
        <v>3</v>
      </c>
      <c r="AA65" s="11">
        <v>3</v>
      </c>
      <c r="AB65" s="11">
        <v>4</v>
      </c>
      <c r="AC65" s="11">
        <v>3</v>
      </c>
      <c r="AD65" s="11">
        <v>0</v>
      </c>
      <c r="AE65" s="11">
        <v>0</v>
      </c>
      <c r="AF65" s="26">
        <v>13</v>
      </c>
      <c r="AG65" s="26">
        <v>5</v>
      </c>
      <c r="AH65" s="28">
        <v>57</v>
      </c>
      <c r="AI65" s="1"/>
      <c r="AJ65" s="1"/>
      <c r="AK65" s="1"/>
      <c r="AL65" s="1"/>
      <c r="AM65" s="1"/>
      <c r="AN65" s="1"/>
      <c r="AO65" s="1"/>
      <c r="AP65" s="1"/>
      <c r="AQ65" s="1"/>
    </row>
    <row r="66" spans="2:43" ht="19.2" customHeight="1" x14ac:dyDescent="0.3">
      <c r="B66" s="8">
        <v>52</v>
      </c>
      <c r="C66" s="15" t="s">
        <v>90</v>
      </c>
      <c r="D66" s="109"/>
      <c r="E66" s="110"/>
      <c r="F66" s="110"/>
      <c r="G66" s="110"/>
      <c r="H66" s="110"/>
      <c r="I66" s="111"/>
      <c r="J66" s="110">
        <f t="shared" si="0"/>
        <v>0</v>
      </c>
      <c r="K66" s="112"/>
      <c r="L66" s="110"/>
      <c r="M66" s="110"/>
      <c r="N66" s="110"/>
      <c r="O66" s="110">
        <f t="shared" si="1"/>
        <v>0</v>
      </c>
      <c r="P66" s="110"/>
      <c r="Q66" s="113"/>
      <c r="R66" s="16"/>
      <c r="S66" s="133">
        <v>5</v>
      </c>
      <c r="T66" s="134">
        <v>5</v>
      </c>
      <c r="U66" s="134">
        <v>7</v>
      </c>
      <c r="V66" s="134">
        <v>3</v>
      </c>
      <c r="W66" s="134">
        <v>3</v>
      </c>
      <c r="X66" s="26">
        <v>23</v>
      </c>
      <c r="Y66" s="26">
        <v>13</v>
      </c>
      <c r="Z66" s="11">
        <v>4</v>
      </c>
      <c r="AA66" s="11">
        <v>4</v>
      </c>
      <c r="AB66" s="11">
        <v>4</v>
      </c>
      <c r="AC66" s="11">
        <v>3</v>
      </c>
      <c r="AD66" s="11">
        <v>0</v>
      </c>
      <c r="AE66" s="11">
        <v>1</v>
      </c>
      <c r="AF66" s="26">
        <v>16</v>
      </c>
      <c r="AG66" s="26">
        <v>5</v>
      </c>
      <c r="AH66" s="28">
        <v>57</v>
      </c>
      <c r="AI66" s="1"/>
      <c r="AJ66" s="1"/>
      <c r="AK66" s="1"/>
      <c r="AL66" s="1"/>
      <c r="AM66" s="1"/>
      <c r="AN66" s="1"/>
      <c r="AO66" s="1"/>
      <c r="AP66" s="1"/>
      <c r="AQ66" s="1"/>
    </row>
    <row r="67" spans="2:43" ht="19.2" customHeight="1" x14ac:dyDescent="0.3">
      <c r="B67" s="8">
        <v>53</v>
      </c>
      <c r="C67" s="15" t="s">
        <v>91</v>
      </c>
      <c r="D67" s="109"/>
      <c r="E67" s="110"/>
      <c r="F67" s="110"/>
      <c r="G67" s="110"/>
      <c r="H67" s="114"/>
      <c r="I67" s="111"/>
      <c r="J67" s="110">
        <f t="shared" si="0"/>
        <v>0</v>
      </c>
      <c r="K67" s="112"/>
      <c r="L67" s="110"/>
      <c r="M67" s="110"/>
      <c r="N67" s="110"/>
      <c r="O67" s="110">
        <f t="shared" si="1"/>
        <v>0</v>
      </c>
      <c r="P67" s="110"/>
      <c r="Q67" s="113"/>
      <c r="R67" s="16"/>
      <c r="S67" s="133">
        <v>4</v>
      </c>
      <c r="T67" s="134">
        <v>4</v>
      </c>
      <c r="U67" s="134">
        <v>6</v>
      </c>
      <c r="V67" s="134">
        <v>0</v>
      </c>
      <c r="W67" s="134">
        <v>0</v>
      </c>
      <c r="X67" s="26">
        <v>14</v>
      </c>
      <c r="Y67" s="26">
        <v>18</v>
      </c>
      <c r="Z67" s="11">
        <v>3</v>
      </c>
      <c r="AA67" s="11">
        <v>3</v>
      </c>
      <c r="AB67" s="11">
        <v>2</v>
      </c>
      <c r="AC67" s="11">
        <v>3</v>
      </c>
      <c r="AD67" s="11">
        <v>1</v>
      </c>
      <c r="AE67" s="11">
        <v>2</v>
      </c>
      <c r="AF67" s="26">
        <v>14</v>
      </c>
      <c r="AG67" s="26">
        <v>0</v>
      </c>
      <c r="AH67" s="28">
        <v>46</v>
      </c>
      <c r="AI67" s="1"/>
      <c r="AJ67" s="1"/>
      <c r="AK67" s="1"/>
      <c r="AL67" s="1"/>
      <c r="AM67" s="1"/>
      <c r="AN67" s="1"/>
      <c r="AO67" s="1"/>
      <c r="AP67" s="1"/>
      <c r="AQ67" s="1"/>
    </row>
    <row r="68" spans="2:43" ht="19.2" customHeight="1" x14ac:dyDescent="0.3">
      <c r="B68" s="8">
        <v>54</v>
      </c>
      <c r="C68" s="15" t="s">
        <v>92</v>
      </c>
      <c r="D68" s="109"/>
      <c r="E68" s="110"/>
      <c r="F68" s="110"/>
      <c r="G68" s="110"/>
      <c r="H68" s="110"/>
      <c r="I68" s="111"/>
      <c r="J68" s="110">
        <f t="shared" si="0"/>
        <v>0</v>
      </c>
      <c r="K68" s="112"/>
      <c r="L68" s="110"/>
      <c r="M68" s="110"/>
      <c r="N68" s="110"/>
      <c r="O68" s="110">
        <f t="shared" si="1"/>
        <v>0</v>
      </c>
      <c r="P68" s="110"/>
      <c r="Q68" s="113"/>
      <c r="R68" s="16"/>
      <c r="S68" s="133">
        <v>4</v>
      </c>
      <c r="T68" s="134">
        <v>4</v>
      </c>
      <c r="U68" s="134">
        <v>7</v>
      </c>
      <c r="V68" s="134">
        <v>4</v>
      </c>
      <c r="W68" s="134">
        <v>4</v>
      </c>
      <c r="X68" s="26">
        <v>23</v>
      </c>
      <c r="Y68" s="26">
        <v>14</v>
      </c>
      <c r="Z68" s="11">
        <v>4</v>
      </c>
      <c r="AA68" s="11">
        <v>3</v>
      </c>
      <c r="AB68" s="11">
        <v>4</v>
      </c>
      <c r="AC68" s="11">
        <v>3</v>
      </c>
      <c r="AD68" s="11">
        <v>0</v>
      </c>
      <c r="AE68" s="11">
        <v>0</v>
      </c>
      <c r="AF68" s="26">
        <v>14</v>
      </c>
      <c r="AG68" s="26">
        <v>5</v>
      </c>
      <c r="AH68" s="28">
        <v>56</v>
      </c>
      <c r="AI68" s="1"/>
      <c r="AJ68" s="1"/>
      <c r="AK68" s="1"/>
      <c r="AL68" s="1"/>
      <c r="AM68" s="1"/>
      <c r="AN68" s="1"/>
      <c r="AO68" s="1"/>
      <c r="AP68" s="1"/>
      <c r="AQ68" s="1"/>
    </row>
    <row r="69" spans="2:43" ht="19.2" customHeight="1" x14ac:dyDescent="0.3">
      <c r="B69" s="8">
        <v>55</v>
      </c>
      <c r="C69" s="15" t="s">
        <v>93</v>
      </c>
      <c r="D69" s="109"/>
      <c r="E69" s="110"/>
      <c r="F69" s="110"/>
      <c r="G69" s="114"/>
      <c r="H69" s="114"/>
      <c r="I69" s="111"/>
      <c r="J69" s="110">
        <f t="shared" si="0"/>
        <v>0</v>
      </c>
      <c r="K69" s="115"/>
      <c r="L69" s="110"/>
      <c r="M69" s="110"/>
      <c r="N69" s="110"/>
      <c r="O69" s="110">
        <f t="shared" si="1"/>
        <v>0</v>
      </c>
      <c r="P69" s="110"/>
      <c r="Q69" s="113"/>
      <c r="R69" s="16"/>
      <c r="S69" s="133">
        <v>4</v>
      </c>
      <c r="T69" s="134">
        <v>4</v>
      </c>
      <c r="U69" s="134">
        <v>5</v>
      </c>
      <c r="V69" s="134">
        <v>3</v>
      </c>
      <c r="W69" s="134">
        <v>3</v>
      </c>
      <c r="X69" s="26">
        <v>19</v>
      </c>
      <c r="Y69" s="26">
        <v>18</v>
      </c>
      <c r="Z69" s="11">
        <v>3</v>
      </c>
      <c r="AA69" s="11">
        <v>2</v>
      </c>
      <c r="AB69" s="11">
        <v>4</v>
      </c>
      <c r="AC69" s="11">
        <v>3</v>
      </c>
      <c r="AD69" s="11">
        <v>0</v>
      </c>
      <c r="AE69" s="11">
        <v>0</v>
      </c>
      <c r="AF69" s="26">
        <v>12</v>
      </c>
      <c r="AG69" s="26">
        <v>0</v>
      </c>
      <c r="AH69" s="28">
        <v>49</v>
      </c>
      <c r="AI69" s="1"/>
      <c r="AJ69" s="1"/>
      <c r="AK69" s="1"/>
      <c r="AL69" s="1"/>
      <c r="AM69" s="1"/>
      <c r="AN69" s="1"/>
      <c r="AO69" s="1"/>
      <c r="AP69" s="1"/>
      <c r="AQ69" s="1"/>
    </row>
    <row r="70" spans="2:43" ht="19.2" customHeight="1" x14ac:dyDescent="0.3">
      <c r="B70" s="8">
        <v>56</v>
      </c>
      <c r="C70" s="15" t="s">
        <v>94</v>
      </c>
      <c r="D70" s="109"/>
      <c r="E70" s="110"/>
      <c r="F70" s="110"/>
      <c r="G70" s="110"/>
      <c r="H70" s="110"/>
      <c r="I70" s="111"/>
      <c r="J70" s="110">
        <f t="shared" si="0"/>
        <v>0</v>
      </c>
      <c r="K70" s="116"/>
      <c r="L70" s="110"/>
      <c r="M70" s="110"/>
      <c r="N70" s="110"/>
      <c r="O70" s="110">
        <f t="shared" si="1"/>
        <v>0</v>
      </c>
      <c r="P70" s="110"/>
      <c r="Q70" s="113"/>
      <c r="R70" s="16"/>
      <c r="S70" s="133">
        <v>5</v>
      </c>
      <c r="T70" s="134">
        <v>3</v>
      </c>
      <c r="U70" s="134">
        <v>5</v>
      </c>
      <c r="V70" s="134">
        <v>3</v>
      </c>
      <c r="W70" s="134">
        <v>3</v>
      </c>
      <c r="X70" s="26">
        <v>19</v>
      </c>
      <c r="Y70" s="26">
        <v>11</v>
      </c>
      <c r="Z70" s="11">
        <v>3</v>
      </c>
      <c r="AA70" s="11">
        <v>2</v>
      </c>
      <c r="AB70" s="11">
        <v>4</v>
      </c>
      <c r="AC70" s="11">
        <v>3</v>
      </c>
      <c r="AD70" s="11">
        <v>0</v>
      </c>
      <c r="AE70" s="11">
        <v>2</v>
      </c>
      <c r="AF70" s="26">
        <v>14</v>
      </c>
      <c r="AG70" s="26">
        <v>5</v>
      </c>
      <c r="AH70" s="28">
        <v>49</v>
      </c>
      <c r="AI70" s="1"/>
      <c r="AJ70" s="1"/>
      <c r="AK70" s="1"/>
      <c r="AL70" s="1"/>
      <c r="AM70" s="1"/>
      <c r="AN70" s="1"/>
      <c r="AO70" s="1"/>
      <c r="AP70" s="1"/>
      <c r="AQ70" s="1"/>
    </row>
    <row r="71" spans="2:43" ht="19.2" customHeight="1" x14ac:dyDescent="0.3">
      <c r="B71" s="8">
        <v>57</v>
      </c>
      <c r="C71" s="22" t="s">
        <v>95</v>
      </c>
      <c r="D71" s="117"/>
      <c r="E71" s="118"/>
      <c r="F71" s="118"/>
      <c r="G71" s="119"/>
      <c r="H71" s="118"/>
      <c r="I71" s="120"/>
      <c r="J71" s="118">
        <f t="shared" si="0"/>
        <v>0</v>
      </c>
      <c r="K71" s="121"/>
      <c r="L71" s="118"/>
      <c r="M71" s="118"/>
      <c r="N71" s="118"/>
      <c r="O71" s="118">
        <f t="shared" si="1"/>
        <v>0</v>
      </c>
      <c r="P71" s="118"/>
      <c r="Q71" s="122"/>
      <c r="R71" s="23"/>
      <c r="S71" s="133">
        <v>4</v>
      </c>
      <c r="T71" s="134">
        <v>5</v>
      </c>
      <c r="U71" s="134">
        <v>4</v>
      </c>
      <c r="V71" s="134">
        <v>1</v>
      </c>
      <c r="W71" s="134">
        <v>2</v>
      </c>
      <c r="X71" s="26">
        <v>16</v>
      </c>
      <c r="Y71" s="26">
        <v>17</v>
      </c>
      <c r="Z71" s="30">
        <v>3</v>
      </c>
      <c r="AA71" s="30">
        <v>2</v>
      </c>
      <c r="AB71" s="30">
        <v>4</v>
      </c>
      <c r="AC71" s="30">
        <v>3</v>
      </c>
      <c r="AD71" s="30">
        <v>0</v>
      </c>
      <c r="AE71" s="30">
        <v>1</v>
      </c>
      <c r="AF71" s="26">
        <v>13</v>
      </c>
      <c r="AG71" s="96">
        <v>5</v>
      </c>
      <c r="AH71" s="105">
        <v>51</v>
      </c>
      <c r="AI71" s="1"/>
      <c r="AJ71" s="1"/>
      <c r="AK71" s="1"/>
      <c r="AL71" s="1"/>
      <c r="AM71" s="1"/>
      <c r="AN71" s="1"/>
      <c r="AO71" s="1"/>
      <c r="AP71" s="1"/>
      <c r="AQ71" s="1"/>
    </row>
    <row r="72" spans="2:43" ht="19.2" customHeight="1" x14ac:dyDescent="0.3">
      <c r="B72" s="8">
        <v>58</v>
      </c>
      <c r="C72" s="42" t="s">
        <v>96</v>
      </c>
      <c r="D72" s="124"/>
      <c r="E72" s="124"/>
      <c r="F72" s="124"/>
      <c r="G72" s="124"/>
      <c r="H72" s="124"/>
      <c r="I72" s="125"/>
      <c r="J72" s="124">
        <f t="shared" si="0"/>
        <v>0</v>
      </c>
      <c r="K72" s="126"/>
      <c r="L72" s="124"/>
      <c r="M72" s="124"/>
      <c r="N72" s="124"/>
      <c r="O72" s="124">
        <f t="shared" si="1"/>
        <v>0</v>
      </c>
      <c r="P72" s="124"/>
      <c r="Q72" s="124"/>
      <c r="R72" s="16"/>
      <c r="S72" s="133">
        <v>4</v>
      </c>
      <c r="T72" s="134">
        <v>5</v>
      </c>
      <c r="U72" s="134">
        <v>7</v>
      </c>
      <c r="V72" s="134">
        <v>3</v>
      </c>
      <c r="W72" s="134">
        <v>3</v>
      </c>
      <c r="X72" s="26">
        <v>22</v>
      </c>
      <c r="Y72" s="26">
        <v>19</v>
      </c>
      <c r="Z72" s="43">
        <v>4</v>
      </c>
      <c r="AA72" s="43">
        <v>3</v>
      </c>
      <c r="AB72" s="43">
        <v>4</v>
      </c>
      <c r="AC72" s="43">
        <v>3</v>
      </c>
      <c r="AD72" s="43">
        <v>1</v>
      </c>
      <c r="AE72" s="43">
        <v>2</v>
      </c>
      <c r="AF72" s="26">
        <v>17</v>
      </c>
      <c r="AG72" s="135">
        <v>5</v>
      </c>
      <c r="AH72" s="94">
        <v>63</v>
      </c>
      <c r="AI72" s="1"/>
      <c r="AJ72" s="1"/>
      <c r="AK72" s="1"/>
      <c r="AL72" s="1"/>
      <c r="AM72" s="1"/>
      <c r="AN72" s="1"/>
      <c r="AO72" s="1"/>
      <c r="AP72" s="1"/>
      <c r="AQ72" s="1"/>
    </row>
    <row r="73" spans="2:43" ht="19.2" customHeight="1" x14ac:dyDescent="0.3">
      <c r="B73" s="8">
        <v>59</v>
      </c>
      <c r="C73" s="42" t="s">
        <v>97</v>
      </c>
      <c r="D73" s="124"/>
      <c r="E73" s="124"/>
      <c r="F73" s="124"/>
      <c r="G73" s="127"/>
      <c r="H73" s="124"/>
      <c r="I73" s="125"/>
      <c r="J73" s="124"/>
      <c r="K73" s="126"/>
      <c r="L73" s="124"/>
      <c r="M73" s="124"/>
      <c r="N73" s="124"/>
      <c r="O73" s="124"/>
      <c r="P73" s="124"/>
      <c r="Q73" s="124"/>
      <c r="R73" s="16"/>
      <c r="S73" s="131">
        <v>3</v>
      </c>
      <c r="T73" s="132">
        <v>3</v>
      </c>
      <c r="U73" s="132">
        <v>4</v>
      </c>
      <c r="V73" s="132">
        <v>2</v>
      </c>
      <c r="W73" s="132">
        <v>2</v>
      </c>
      <c r="X73" s="132">
        <v>14</v>
      </c>
      <c r="Y73" s="136">
        <v>20</v>
      </c>
      <c r="Z73" s="132">
        <v>4</v>
      </c>
      <c r="AA73" s="132">
        <v>3</v>
      </c>
      <c r="AB73" s="132">
        <v>4</v>
      </c>
      <c r="AC73" s="132">
        <v>2</v>
      </c>
      <c r="AD73" s="132">
        <v>0</v>
      </c>
      <c r="AE73" s="132">
        <v>0</v>
      </c>
      <c r="AF73" s="132">
        <v>13</v>
      </c>
      <c r="AG73" s="137">
        <v>0</v>
      </c>
      <c r="AH73" s="138">
        <v>47</v>
      </c>
      <c r="AI73" s="103"/>
      <c r="AJ73" s="103"/>
      <c r="AK73" s="103"/>
      <c r="AL73" s="104"/>
      <c r="AM73" s="103"/>
      <c r="AN73" s="1"/>
      <c r="AO73" s="1"/>
      <c r="AP73" s="1"/>
      <c r="AQ73" s="1"/>
    </row>
    <row r="74" spans="2:43" ht="19.2" customHeight="1" x14ac:dyDescent="0.3">
      <c r="B74" s="8">
        <v>60</v>
      </c>
      <c r="C74" s="42" t="s">
        <v>98</v>
      </c>
      <c r="D74" s="124"/>
      <c r="E74" s="124"/>
      <c r="F74" s="124"/>
      <c r="G74" s="127"/>
      <c r="H74" s="124"/>
      <c r="I74" s="125"/>
      <c r="J74" s="124"/>
      <c r="K74" s="126"/>
      <c r="L74" s="124"/>
      <c r="M74" s="124"/>
      <c r="N74" s="124"/>
      <c r="O74" s="124"/>
      <c r="P74" s="124"/>
      <c r="Q74" s="124"/>
      <c r="R74" s="16"/>
      <c r="S74" s="133">
        <v>5</v>
      </c>
      <c r="T74" s="134">
        <v>5</v>
      </c>
      <c r="U74" s="134">
        <v>6</v>
      </c>
      <c r="V74" s="134">
        <v>3</v>
      </c>
      <c r="W74" s="134">
        <v>4</v>
      </c>
      <c r="X74" s="134">
        <v>23</v>
      </c>
      <c r="Y74" s="139">
        <v>15</v>
      </c>
      <c r="Z74" s="134">
        <v>3</v>
      </c>
      <c r="AA74" s="134">
        <v>3</v>
      </c>
      <c r="AB74" s="134">
        <v>4</v>
      </c>
      <c r="AC74" s="134">
        <v>3</v>
      </c>
      <c r="AD74" s="134">
        <v>1</v>
      </c>
      <c r="AE74" s="134">
        <v>1</v>
      </c>
      <c r="AF74" s="134">
        <v>15</v>
      </c>
      <c r="AG74" s="140">
        <v>0</v>
      </c>
      <c r="AH74" s="138">
        <v>53</v>
      </c>
      <c r="AI74" s="103"/>
      <c r="AJ74" s="103"/>
      <c r="AK74" s="103"/>
      <c r="AL74" s="103"/>
      <c r="AM74" s="103"/>
      <c r="AN74" s="1"/>
      <c r="AO74" s="1"/>
      <c r="AP74" s="1"/>
      <c r="AQ74" s="1"/>
    </row>
    <row r="75" spans="2:43" ht="19.2" customHeight="1" x14ac:dyDescent="0.3">
      <c r="B75" s="8">
        <v>61</v>
      </c>
      <c r="C75" s="42" t="s">
        <v>99</v>
      </c>
      <c r="D75" s="124"/>
      <c r="E75" s="124"/>
      <c r="F75" s="124"/>
      <c r="G75" s="127"/>
      <c r="H75" s="124"/>
      <c r="I75" s="125"/>
      <c r="J75" s="124"/>
      <c r="K75" s="126"/>
      <c r="L75" s="124"/>
      <c r="M75" s="124"/>
      <c r="N75" s="124"/>
      <c r="O75" s="124"/>
      <c r="P75" s="124"/>
      <c r="Q75" s="124"/>
      <c r="R75" s="16"/>
      <c r="S75" s="133">
        <v>4</v>
      </c>
      <c r="T75" s="134">
        <v>4</v>
      </c>
      <c r="U75" s="134">
        <v>4</v>
      </c>
      <c r="V75" s="134">
        <v>2</v>
      </c>
      <c r="W75" s="134">
        <v>4</v>
      </c>
      <c r="X75" s="134">
        <v>18</v>
      </c>
      <c r="Y75" s="139">
        <v>17</v>
      </c>
      <c r="Z75" s="134">
        <v>3</v>
      </c>
      <c r="AA75" s="134">
        <v>3</v>
      </c>
      <c r="AB75" s="134">
        <v>3</v>
      </c>
      <c r="AC75" s="134">
        <v>2</v>
      </c>
      <c r="AD75" s="134">
        <v>0</v>
      </c>
      <c r="AE75" s="134">
        <v>0</v>
      </c>
      <c r="AF75" s="134">
        <v>11</v>
      </c>
      <c r="AG75" s="141">
        <v>0</v>
      </c>
      <c r="AH75" s="138">
        <v>46</v>
      </c>
      <c r="AI75" s="103"/>
      <c r="AJ75" s="103"/>
      <c r="AK75" s="103"/>
      <c r="AL75" s="104"/>
      <c r="AM75" s="103"/>
    </row>
    <row r="76" spans="2:43" ht="19.2" customHeight="1" x14ac:dyDescent="0.3">
      <c r="B76" s="8">
        <v>62</v>
      </c>
      <c r="C76" s="42" t="s">
        <v>100</v>
      </c>
      <c r="D76" s="123"/>
      <c r="E76" s="123"/>
      <c r="F76" s="123"/>
      <c r="G76" s="123"/>
      <c r="H76" s="123"/>
      <c r="I76" s="123"/>
      <c r="J76" s="123"/>
      <c r="K76" s="123"/>
      <c r="L76" s="123"/>
      <c r="M76" s="123"/>
      <c r="N76" s="123"/>
      <c r="O76" s="123"/>
      <c r="P76" s="123"/>
      <c r="Q76" s="124"/>
      <c r="R76" s="16"/>
      <c r="S76" s="133">
        <v>5</v>
      </c>
      <c r="T76" s="134">
        <v>3</v>
      </c>
      <c r="U76" s="134">
        <v>4</v>
      </c>
      <c r="V76" s="134">
        <v>4</v>
      </c>
      <c r="W76" s="134">
        <v>2</v>
      </c>
      <c r="X76" s="134">
        <v>18</v>
      </c>
      <c r="Y76" s="139">
        <v>18</v>
      </c>
      <c r="Z76" s="134">
        <v>3</v>
      </c>
      <c r="AA76" s="134">
        <v>2</v>
      </c>
      <c r="AB76" s="134">
        <v>4</v>
      </c>
      <c r="AC76" s="134">
        <v>4</v>
      </c>
      <c r="AD76" s="134">
        <v>0</v>
      </c>
      <c r="AE76" s="134">
        <v>2</v>
      </c>
      <c r="AF76" s="134">
        <v>15</v>
      </c>
      <c r="AG76" s="141">
        <v>0</v>
      </c>
      <c r="AH76" s="138">
        <v>51</v>
      </c>
      <c r="AI76" s="103"/>
      <c r="AJ76" s="103"/>
      <c r="AK76" s="103"/>
      <c r="AL76" s="103"/>
      <c r="AM76" s="103"/>
    </row>
    <row r="77" spans="2:43" ht="19.2" customHeight="1" x14ac:dyDescent="0.3">
      <c r="B77" s="8">
        <v>63</v>
      </c>
      <c r="C77" s="42" t="s">
        <v>101</v>
      </c>
      <c r="D77" s="123"/>
      <c r="E77" s="123"/>
      <c r="F77" s="123"/>
      <c r="G77" s="123"/>
      <c r="H77" s="123"/>
      <c r="I77" s="123"/>
      <c r="J77" s="123"/>
      <c r="K77" s="123"/>
      <c r="L77" s="123"/>
      <c r="M77" s="123"/>
      <c r="N77" s="123"/>
      <c r="O77" s="123"/>
      <c r="P77" s="123"/>
      <c r="Q77" s="124"/>
      <c r="R77" s="16"/>
      <c r="S77" s="133">
        <v>2</v>
      </c>
      <c r="T77" s="134">
        <v>2</v>
      </c>
      <c r="U77" s="134">
        <v>4</v>
      </c>
      <c r="V77" s="134">
        <v>2</v>
      </c>
      <c r="W77" s="134">
        <v>0</v>
      </c>
      <c r="X77" s="134">
        <v>10</v>
      </c>
      <c r="Y77" s="139">
        <v>19</v>
      </c>
      <c r="Z77" s="134">
        <v>2</v>
      </c>
      <c r="AA77" s="134">
        <v>2</v>
      </c>
      <c r="AB77" s="134">
        <v>4</v>
      </c>
      <c r="AC77" s="134">
        <v>2</v>
      </c>
      <c r="AD77" s="134">
        <v>0</v>
      </c>
      <c r="AE77" s="134">
        <v>2</v>
      </c>
      <c r="AF77" s="134">
        <v>12</v>
      </c>
      <c r="AG77" s="141">
        <v>0</v>
      </c>
      <c r="AH77" s="138">
        <v>41</v>
      </c>
      <c r="AI77" s="103"/>
      <c r="AJ77" s="103"/>
      <c r="AK77" s="103"/>
      <c r="AL77" s="103"/>
      <c r="AM77" s="103"/>
    </row>
    <row r="78" spans="2:43" ht="19.2" customHeight="1" x14ac:dyDescent="0.3">
      <c r="B78" s="8">
        <v>64</v>
      </c>
      <c r="C78" s="42" t="s">
        <v>102</v>
      </c>
      <c r="D78" s="123"/>
      <c r="E78" s="123"/>
      <c r="F78" s="123"/>
      <c r="G78" s="123"/>
      <c r="H78" s="123"/>
      <c r="I78" s="123"/>
      <c r="J78" s="123"/>
      <c r="K78" s="123"/>
      <c r="L78" s="123"/>
      <c r="M78" s="123"/>
      <c r="N78" s="123"/>
      <c r="O78" s="123"/>
      <c r="P78" s="123"/>
      <c r="Q78" s="124"/>
      <c r="R78" s="16"/>
      <c r="S78" s="133">
        <v>5</v>
      </c>
      <c r="T78" s="134">
        <v>4</v>
      </c>
      <c r="U78" s="134">
        <v>6</v>
      </c>
      <c r="V78" s="134">
        <v>4</v>
      </c>
      <c r="W78" s="134">
        <v>6</v>
      </c>
      <c r="X78" s="134">
        <v>25</v>
      </c>
      <c r="Y78" s="139">
        <v>15</v>
      </c>
      <c r="Z78" s="134">
        <v>3</v>
      </c>
      <c r="AA78" s="134">
        <v>3</v>
      </c>
      <c r="AB78" s="134">
        <v>2</v>
      </c>
      <c r="AC78" s="134">
        <v>3</v>
      </c>
      <c r="AD78" s="134">
        <v>1</v>
      </c>
      <c r="AE78" s="134">
        <v>2</v>
      </c>
      <c r="AF78" s="134">
        <v>14</v>
      </c>
      <c r="AG78" s="140">
        <v>5</v>
      </c>
      <c r="AH78" s="138">
        <v>59</v>
      </c>
      <c r="AI78" s="103"/>
      <c r="AJ78" s="103"/>
      <c r="AK78" s="103"/>
      <c r="AL78" s="103"/>
      <c r="AM78" s="103"/>
    </row>
    <row r="79" spans="2:43" ht="19.2" customHeight="1" x14ac:dyDescent="0.3">
      <c r="B79" s="8">
        <v>65</v>
      </c>
      <c r="C79" s="42" t="s">
        <v>103</v>
      </c>
      <c r="D79" s="123"/>
      <c r="E79" s="123"/>
      <c r="F79" s="123"/>
      <c r="G79" s="123"/>
      <c r="H79" s="123"/>
      <c r="I79" s="123"/>
      <c r="J79" s="123"/>
      <c r="K79" s="123"/>
      <c r="L79" s="123"/>
      <c r="M79" s="123"/>
      <c r="N79" s="123"/>
      <c r="O79" s="123"/>
      <c r="P79" s="123"/>
      <c r="Q79" s="124"/>
      <c r="R79" s="16"/>
      <c r="S79" s="133">
        <v>5</v>
      </c>
      <c r="T79" s="134">
        <v>4</v>
      </c>
      <c r="U79" s="134">
        <v>7</v>
      </c>
      <c r="V79" s="134">
        <v>2</v>
      </c>
      <c r="W79" s="134">
        <v>4</v>
      </c>
      <c r="X79" s="134">
        <v>22</v>
      </c>
      <c r="Y79" s="139">
        <v>16</v>
      </c>
      <c r="Z79" s="134">
        <v>3</v>
      </c>
      <c r="AA79" s="134">
        <v>3</v>
      </c>
      <c r="AB79" s="134">
        <v>2</v>
      </c>
      <c r="AC79" s="134">
        <v>4</v>
      </c>
      <c r="AD79" s="134">
        <v>1</v>
      </c>
      <c r="AE79" s="134">
        <v>2</v>
      </c>
      <c r="AF79" s="134">
        <v>15</v>
      </c>
      <c r="AG79" s="141">
        <v>5</v>
      </c>
      <c r="AH79" s="138">
        <v>58</v>
      </c>
      <c r="AI79" s="103"/>
      <c r="AJ79" s="103"/>
      <c r="AK79" s="103"/>
      <c r="AL79" s="103"/>
      <c r="AM79" s="103"/>
    </row>
    <row r="80" spans="2:43" ht="15.6" x14ac:dyDescent="0.3">
      <c r="B80" s="8">
        <v>66</v>
      </c>
      <c r="C80" s="47" t="s">
        <v>104</v>
      </c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9"/>
      <c r="S80" s="133">
        <v>5</v>
      </c>
      <c r="T80" s="134">
        <v>4</v>
      </c>
      <c r="U80" s="134">
        <v>7</v>
      </c>
      <c r="V80" s="134">
        <v>4</v>
      </c>
      <c r="W80" s="134">
        <v>5</v>
      </c>
      <c r="X80" s="134">
        <v>25</v>
      </c>
      <c r="Y80" s="139">
        <v>17</v>
      </c>
      <c r="Z80" s="134">
        <v>3</v>
      </c>
      <c r="AA80" s="134">
        <v>3</v>
      </c>
      <c r="AB80" s="134">
        <v>4</v>
      </c>
      <c r="AC80" s="134">
        <v>3</v>
      </c>
      <c r="AD80" s="134">
        <v>0</v>
      </c>
      <c r="AE80" s="134">
        <v>1</v>
      </c>
      <c r="AF80" s="134">
        <v>14</v>
      </c>
      <c r="AG80" s="141">
        <v>5</v>
      </c>
      <c r="AH80" s="138">
        <v>61</v>
      </c>
      <c r="AI80" s="103"/>
      <c r="AJ80" s="103"/>
      <c r="AK80" s="103"/>
      <c r="AL80" s="103"/>
      <c r="AM80" s="103"/>
    </row>
    <row r="81" spans="2:39" ht="15.6" x14ac:dyDescent="0.3">
      <c r="B81" s="8">
        <v>67</v>
      </c>
      <c r="C81" s="47" t="s">
        <v>105</v>
      </c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9"/>
      <c r="S81" s="133">
        <v>4</v>
      </c>
      <c r="T81" s="134">
        <v>4</v>
      </c>
      <c r="U81" s="134">
        <v>6</v>
      </c>
      <c r="V81" s="134">
        <v>2</v>
      </c>
      <c r="W81" s="134">
        <v>2</v>
      </c>
      <c r="X81" s="134">
        <v>18</v>
      </c>
      <c r="Y81" s="139">
        <v>19</v>
      </c>
      <c r="Z81" s="134">
        <v>3</v>
      </c>
      <c r="AA81" s="134">
        <v>3</v>
      </c>
      <c r="AB81" s="134">
        <v>4</v>
      </c>
      <c r="AC81" s="134">
        <v>3</v>
      </c>
      <c r="AD81" s="134">
        <v>0</v>
      </c>
      <c r="AE81" s="134">
        <v>2</v>
      </c>
      <c r="AF81" s="134">
        <v>15</v>
      </c>
      <c r="AG81" s="140">
        <v>0</v>
      </c>
      <c r="AH81" s="138">
        <v>52</v>
      </c>
      <c r="AI81" s="103"/>
      <c r="AJ81" s="103"/>
      <c r="AK81" s="103"/>
      <c r="AL81" s="103"/>
      <c r="AM81" s="103"/>
    </row>
    <row r="82" spans="2:39" ht="15.6" x14ac:dyDescent="0.3">
      <c r="B82" s="8">
        <v>68</v>
      </c>
      <c r="C82" s="47" t="s">
        <v>106</v>
      </c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33">
        <v>5</v>
      </c>
      <c r="T82" s="134">
        <v>5</v>
      </c>
      <c r="U82" s="134">
        <v>4</v>
      </c>
      <c r="V82" s="134">
        <v>3</v>
      </c>
      <c r="W82" s="134">
        <v>5</v>
      </c>
      <c r="X82" s="134">
        <v>22</v>
      </c>
      <c r="Y82" s="139">
        <v>16</v>
      </c>
      <c r="Z82" s="134">
        <v>3</v>
      </c>
      <c r="AA82" s="134">
        <v>3</v>
      </c>
      <c r="AB82" s="134">
        <v>0</v>
      </c>
      <c r="AC82" s="134">
        <v>2</v>
      </c>
      <c r="AD82" s="134">
        <v>0</v>
      </c>
      <c r="AE82" s="134">
        <v>0</v>
      </c>
      <c r="AF82" s="134">
        <v>8</v>
      </c>
      <c r="AG82" s="141">
        <v>0</v>
      </c>
      <c r="AH82" s="138">
        <v>46</v>
      </c>
      <c r="AI82" s="103"/>
      <c r="AJ82" s="103"/>
      <c r="AK82" s="103"/>
      <c r="AL82" s="104"/>
      <c r="AM82" s="103"/>
    </row>
    <row r="83" spans="2:39" ht="15.6" x14ac:dyDescent="0.3">
      <c r="B83" s="8">
        <v>69</v>
      </c>
      <c r="C83" s="47" t="s">
        <v>107</v>
      </c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33">
        <v>5</v>
      </c>
      <c r="T83" s="134">
        <v>4</v>
      </c>
      <c r="U83" s="134">
        <v>6</v>
      </c>
      <c r="V83" s="134">
        <v>2</v>
      </c>
      <c r="W83" s="134">
        <v>4</v>
      </c>
      <c r="X83" s="134">
        <v>21</v>
      </c>
      <c r="Y83" s="139">
        <v>18</v>
      </c>
      <c r="Z83" s="134">
        <v>4</v>
      </c>
      <c r="AA83" s="134">
        <v>3</v>
      </c>
      <c r="AB83" s="134">
        <v>0</v>
      </c>
      <c r="AC83" s="134">
        <v>2</v>
      </c>
      <c r="AD83" s="134">
        <v>0</v>
      </c>
      <c r="AE83" s="134">
        <v>0</v>
      </c>
      <c r="AF83" s="134">
        <v>9</v>
      </c>
      <c r="AG83" s="141">
        <v>5</v>
      </c>
      <c r="AH83" s="138">
        <v>53</v>
      </c>
      <c r="AI83" s="103"/>
      <c r="AJ83" s="103"/>
      <c r="AK83" s="103"/>
      <c r="AL83" s="103"/>
      <c r="AM83" s="103"/>
    </row>
    <row r="84" spans="2:39" ht="15.6" x14ac:dyDescent="0.3">
      <c r="B84" s="8">
        <v>70</v>
      </c>
      <c r="C84" s="47" t="s">
        <v>108</v>
      </c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33">
        <v>4</v>
      </c>
      <c r="T84" s="134">
        <v>5</v>
      </c>
      <c r="U84" s="134">
        <v>7</v>
      </c>
      <c r="V84" s="134">
        <v>4</v>
      </c>
      <c r="W84" s="134">
        <v>6</v>
      </c>
      <c r="X84" s="134">
        <v>26</v>
      </c>
      <c r="Y84" s="139">
        <v>19</v>
      </c>
      <c r="Z84" s="134">
        <v>4</v>
      </c>
      <c r="AA84" s="134">
        <v>3</v>
      </c>
      <c r="AB84" s="134">
        <v>2</v>
      </c>
      <c r="AC84" s="134">
        <v>3</v>
      </c>
      <c r="AD84" s="134">
        <v>0</v>
      </c>
      <c r="AE84" s="134">
        <v>2</v>
      </c>
      <c r="AF84" s="134">
        <v>14</v>
      </c>
      <c r="AG84" s="141">
        <v>5</v>
      </c>
      <c r="AH84" s="138">
        <v>64</v>
      </c>
      <c r="AI84" s="103"/>
      <c r="AJ84" s="103"/>
      <c r="AK84" s="103"/>
      <c r="AL84" s="103"/>
      <c r="AM84" s="103"/>
    </row>
    <row r="85" spans="2:39" ht="15.6" x14ac:dyDescent="0.3">
      <c r="B85" s="8">
        <v>71</v>
      </c>
      <c r="C85" s="47" t="s">
        <v>109</v>
      </c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33">
        <v>5</v>
      </c>
      <c r="T85" s="134">
        <v>5</v>
      </c>
      <c r="U85" s="134">
        <v>7</v>
      </c>
      <c r="V85" s="134">
        <v>3</v>
      </c>
      <c r="W85" s="134">
        <v>5</v>
      </c>
      <c r="X85" s="134">
        <v>25</v>
      </c>
      <c r="Y85" s="139">
        <v>18</v>
      </c>
      <c r="Z85" s="134">
        <v>4</v>
      </c>
      <c r="AA85" s="134">
        <v>4</v>
      </c>
      <c r="AB85" s="134">
        <v>4</v>
      </c>
      <c r="AC85" s="134">
        <v>4</v>
      </c>
      <c r="AD85" s="134">
        <v>0</v>
      </c>
      <c r="AE85" s="134">
        <v>0</v>
      </c>
      <c r="AF85" s="134">
        <v>16</v>
      </c>
      <c r="AG85" s="141">
        <v>0</v>
      </c>
      <c r="AH85" s="138">
        <v>59</v>
      </c>
      <c r="AI85" s="103"/>
      <c r="AJ85" s="103"/>
      <c r="AK85" s="103"/>
      <c r="AL85" s="104"/>
      <c r="AM85" s="103"/>
    </row>
    <row r="86" spans="2:39" ht="15.6" x14ac:dyDescent="0.3">
      <c r="B86" s="8">
        <v>72</v>
      </c>
      <c r="C86" s="47" t="s">
        <v>110</v>
      </c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33">
        <v>5</v>
      </c>
      <c r="T86" s="134">
        <v>4</v>
      </c>
      <c r="U86" s="134">
        <v>4</v>
      </c>
      <c r="V86" s="134">
        <v>2</v>
      </c>
      <c r="W86" s="134">
        <v>3</v>
      </c>
      <c r="X86" s="134">
        <v>18</v>
      </c>
      <c r="Y86" s="139">
        <v>18</v>
      </c>
      <c r="Z86" s="134">
        <v>3</v>
      </c>
      <c r="AA86" s="134">
        <v>2</v>
      </c>
      <c r="AB86" s="134">
        <v>1</v>
      </c>
      <c r="AC86" s="134">
        <v>3</v>
      </c>
      <c r="AD86" s="134">
        <v>2</v>
      </c>
      <c r="AE86" s="134">
        <v>2</v>
      </c>
      <c r="AF86" s="134">
        <v>13</v>
      </c>
      <c r="AG86" s="141">
        <v>0</v>
      </c>
      <c r="AH86" s="138">
        <v>49</v>
      </c>
      <c r="AI86" s="103"/>
      <c r="AJ86" s="103"/>
      <c r="AK86" s="103"/>
      <c r="AL86" s="103"/>
      <c r="AM86" s="103"/>
    </row>
    <row r="87" spans="2:39" ht="15.6" x14ac:dyDescent="0.3">
      <c r="B87" s="8">
        <v>73</v>
      </c>
      <c r="C87" s="47" t="s">
        <v>111</v>
      </c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33">
        <v>6</v>
      </c>
      <c r="T87" s="134">
        <v>5</v>
      </c>
      <c r="U87" s="134">
        <v>7</v>
      </c>
      <c r="V87" s="134">
        <v>3</v>
      </c>
      <c r="W87" s="134">
        <v>6</v>
      </c>
      <c r="X87" s="134">
        <v>27</v>
      </c>
      <c r="Y87" s="139">
        <v>8</v>
      </c>
      <c r="Z87" s="134">
        <v>4</v>
      </c>
      <c r="AA87" s="134">
        <v>3</v>
      </c>
      <c r="AB87" s="134">
        <v>2</v>
      </c>
      <c r="AC87" s="134">
        <v>3</v>
      </c>
      <c r="AD87" s="134">
        <v>2</v>
      </c>
      <c r="AE87" s="134">
        <v>2</v>
      </c>
      <c r="AF87" s="134">
        <v>16</v>
      </c>
      <c r="AG87" s="141">
        <v>5</v>
      </c>
      <c r="AH87" s="138">
        <v>56</v>
      </c>
      <c r="AI87" s="103"/>
      <c r="AJ87" s="103"/>
      <c r="AK87" s="103"/>
      <c r="AL87" s="103"/>
      <c r="AM87" s="103"/>
    </row>
    <row r="88" spans="2:39" ht="15.6" x14ac:dyDescent="0.3">
      <c r="B88" s="8">
        <v>74</v>
      </c>
      <c r="C88" s="47" t="s">
        <v>112</v>
      </c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33">
        <v>5</v>
      </c>
      <c r="T88" s="134">
        <v>4</v>
      </c>
      <c r="U88" s="134">
        <v>5</v>
      </c>
      <c r="V88" s="134">
        <v>2</v>
      </c>
      <c r="W88" s="134">
        <v>3</v>
      </c>
      <c r="X88" s="134">
        <v>19</v>
      </c>
      <c r="Y88" s="139">
        <v>16</v>
      </c>
      <c r="Z88" s="134">
        <v>3</v>
      </c>
      <c r="AA88" s="134">
        <v>3</v>
      </c>
      <c r="AB88" s="134">
        <v>0</v>
      </c>
      <c r="AC88" s="134">
        <v>3</v>
      </c>
      <c r="AD88" s="134">
        <v>2</v>
      </c>
      <c r="AE88" s="134">
        <v>2</v>
      </c>
      <c r="AF88" s="134">
        <v>13</v>
      </c>
      <c r="AG88" s="141">
        <v>5</v>
      </c>
      <c r="AH88" s="138">
        <v>53</v>
      </c>
      <c r="AI88" s="103"/>
      <c r="AJ88" s="103"/>
      <c r="AK88" s="103"/>
      <c r="AL88" s="103"/>
      <c r="AM88" s="103"/>
    </row>
    <row r="89" spans="2:39" ht="15.6" x14ac:dyDescent="0.3">
      <c r="B89" s="8">
        <v>75</v>
      </c>
      <c r="C89" s="47" t="s">
        <v>113</v>
      </c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33">
        <v>4</v>
      </c>
      <c r="T89" s="134">
        <v>4</v>
      </c>
      <c r="U89" s="134">
        <v>6</v>
      </c>
      <c r="V89" s="134">
        <v>2</v>
      </c>
      <c r="W89" s="134">
        <v>4</v>
      </c>
      <c r="X89" s="134">
        <v>20</v>
      </c>
      <c r="Y89" s="139">
        <v>16</v>
      </c>
      <c r="Z89" s="134">
        <v>3</v>
      </c>
      <c r="AA89" s="134">
        <v>3</v>
      </c>
      <c r="AB89" s="134">
        <v>1</v>
      </c>
      <c r="AC89" s="134">
        <v>3</v>
      </c>
      <c r="AD89" s="134">
        <v>0</v>
      </c>
      <c r="AE89" s="134">
        <v>2</v>
      </c>
      <c r="AF89" s="134">
        <v>12</v>
      </c>
      <c r="AG89" s="141">
        <v>5</v>
      </c>
      <c r="AH89" s="138">
        <v>53</v>
      </c>
      <c r="AI89" s="103"/>
      <c r="AJ89" s="103"/>
      <c r="AK89" s="103"/>
      <c r="AL89" s="103"/>
      <c r="AM89" s="103"/>
    </row>
    <row r="90" spans="2:39" ht="15.6" x14ac:dyDescent="0.3">
      <c r="B90" s="8">
        <v>76</v>
      </c>
      <c r="C90" s="47" t="s">
        <v>114</v>
      </c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33">
        <v>6</v>
      </c>
      <c r="T90" s="134">
        <v>4</v>
      </c>
      <c r="U90" s="134">
        <v>0</v>
      </c>
      <c r="V90" s="134">
        <v>2</v>
      </c>
      <c r="W90" s="134">
        <v>0</v>
      </c>
      <c r="X90" s="134">
        <v>12</v>
      </c>
      <c r="Y90" s="139">
        <v>18</v>
      </c>
      <c r="Z90" s="134">
        <v>3</v>
      </c>
      <c r="AA90" s="134">
        <v>2</v>
      </c>
      <c r="AB90" s="134">
        <v>0</v>
      </c>
      <c r="AC90" s="134">
        <v>3</v>
      </c>
      <c r="AD90" s="134">
        <v>0</v>
      </c>
      <c r="AE90" s="134">
        <v>0</v>
      </c>
      <c r="AF90" s="134">
        <v>8</v>
      </c>
      <c r="AG90" s="141">
        <v>5</v>
      </c>
      <c r="AH90" s="138">
        <v>43</v>
      </c>
      <c r="AI90" s="103"/>
      <c r="AJ90" s="103"/>
      <c r="AK90" s="103"/>
      <c r="AL90" s="103"/>
      <c r="AM90" s="103"/>
    </row>
    <row r="91" spans="2:39" ht="15.6" x14ac:dyDescent="0.3">
      <c r="B91" s="8">
        <v>77</v>
      </c>
      <c r="C91" s="47" t="s">
        <v>115</v>
      </c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33">
        <v>4</v>
      </c>
      <c r="T91" s="134">
        <v>3</v>
      </c>
      <c r="U91" s="134">
        <v>0</v>
      </c>
      <c r="V91" s="134">
        <v>2</v>
      </c>
      <c r="W91" s="134">
        <v>0</v>
      </c>
      <c r="X91" s="134">
        <v>9</v>
      </c>
      <c r="Y91" s="139">
        <v>16</v>
      </c>
      <c r="Z91" s="134">
        <v>3</v>
      </c>
      <c r="AA91" s="134">
        <v>2</v>
      </c>
      <c r="AB91" s="134">
        <v>0</v>
      </c>
      <c r="AC91" s="134">
        <v>3</v>
      </c>
      <c r="AD91" s="134">
        <v>0</v>
      </c>
      <c r="AE91" s="134">
        <v>0</v>
      </c>
      <c r="AF91" s="134">
        <v>8</v>
      </c>
      <c r="AG91" s="141">
        <v>0</v>
      </c>
      <c r="AH91" s="138">
        <v>33</v>
      </c>
      <c r="AI91" s="103"/>
      <c r="AJ91" s="103"/>
      <c r="AK91" s="103"/>
      <c r="AL91" s="104"/>
      <c r="AM91" s="103"/>
    </row>
    <row r="92" spans="2:39" ht="15.6" x14ac:dyDescent="0.3">
      <c r="B92" s="8">
        <v>78</v>
      </c>
      <c r="C92" s="47" t="s">
        <v>116</v>
      </c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33">
        <v>4</v>
      </c>
      <c r="T92" s="134">
        <v>4</v>
      </c>
      <c r="U92" s="134">
        <v>1</v>
      </c>
      <c r="V92" s="134">
        <v>1</v>
      </c>
      <c r="W92" s="134">
        <v>1</v>
      </c>
      <c r="X92" s="134">
        <v>11</v>
      </c>
      <c r="Y92" s="139">
        <v>15</v>
      </c>
      <c r="Z92" s="134">
        <v>2</v>
      </c>
      <c r="AA92" s="134">
        <v>1</v>
      </c>
      <c r="AB92" s="134">
        <v>0</v>
      </c>
      <c r="AC92" s="134">
        <v>0</v>
      </c>
      <c r="AD92" s="134">
        <v>0</v>
      </c>
      <c r="AE92" s="134">
        <v>0</v>
      </c>
      <c r="AF92" s="134">
        <v>3</v>
      </c>
      <c r="AG92" s="141">
        <v>5</v>
      </c>
      <c r="AH92" s="138">
        <v>34</v>
      </c>
      <c r="AI92" s="103"/>
      <c r="AJ92" s="103"/>
      <c r="AK92" s="103"/>
      <c r="AL92" s="103"/>
      <c r="AM92" s="103"/>
    </row>
    <row r="93" spans="2:39" ht="15.6" x14ac:dyDescent="0.3">
      <c r="B93" s="8">
        <v>79</v>
      </c>
      <c r="C93" s="47" t="s">
        <v>117</v>
      </c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33">
        <v>6</v>
      </c>
      <c r="T93" s="134">
        <v>5</v>
      </c>
      <c r="U93" s="134">
        <v>7</v>
      </c>
      <c r="V93" s="134">
        <v>4</v>
      </c>
      <c r="W93" s="134">
        <v>0</v>
      </c>
      <c r="X93" s="134">
        <v>22</v>
      </c>
      <c r="Y93" s="139">
        <v>13</v>
      </c>
      <c r="Z93" s="134">
        <v>3</v>
      </c>
      <c r="AA93" s="134">
        <v>2</v>
      </c>
      <c r="AB93" s="134">
        <v>0</v>
      </c>
      <c r="AC93" s="134">
        <v>3</v>
      </c>
      <c r="AD93" s="134">
        <v>0</v>
      </c>
      <c r="AE93" s="134">
        <v>1</v>
      </c>
      <c r="AF93" s="134">
        <v>9</v>
      </c>
      <c r="AG93" s="141">
        <v>5</v>
      </c>
      <c r="AH93" s="138">
        <v>49</v>
      </c>
      <c r="AI93" s="103"/>
      <c r="AJ93" s="103"/>
      <c r="AK93" s="103"/>
      <c r="AL93" s="103"/>
      <c r="AM93" s="103"/>
    </row>
    <row r="94" spans="2:39" ht="15.6" x14ac:dyDescent="0.3">
      <c r="B94" s="8">
        <v>80</v>
      </c>
      <c r="C94" s="47" t="s">
        <v>118</v>
      </c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33">
        <v>3</v>
      </c>
      <c r="T94" s="134">
        <v>1</v>
      </c>
      <c r="U94" s="134">
        <v>4</v>
      </c>
      <c r="V94" s="134">
        <v>1</v>
      </c>
      <c r="W94" s="134">
        <v>3</v>
      </c>
      <c r="X94" s="134">
        <v>12</v>
      </c>
      <c r="Y94" s="139">
        <v>18</v>
      </c>
      <c r="Z94" s="134">
        <v>3</v>
      </c>
      <c r="AA94" s="134">
        <v>3</v>
      </c>
      <c r="AB94" s="134">
        <v>0</v>
      </c>
      <c r="AC94" s="134">
        <v>3</v>
      </c>
      <c r="AD94" s="134">
        <v>0</v>
      </c>
      <c r="AE94" s="134">
        <v>0</v>
      </c>
      <c r="AF94" s="134">
        <v>9</v>
      </c>
      <c r="AG94" s="141">
        <v>5</v>
      </c>
      <c r="AH94" s="138">
        <v>44</v>
      </c>
      <c r="AI94" s="103"/>
      <c r="AJ94" s="103"/>
      <c r="AK94" s="103"/>
      <c r="AL94" s="103"/>
      <c r="AM94" s="103"/>
    </row>
    <row r="95" spans="2:39" ht="15.6" x14ac:dyDescent="0.3">
      <c r="B95" s="8">
        <v>81</v>
      </c>
      <c r="C95" s="47" t="s">
        <v>119</v>
      </c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33">
        <v>5</v>
      </c>
      <c r="T95" s="134">
        <v>4</v>
      </c>
      <c r="U95" s="134">
        <v>5</v>
      </c>
      <c r="V95" s="134">
        <v>2</v>
      </c>
      <c r="W95" s="134">
        <v>4</v>
      </c>
      <c r="X95" s="134">
        <v>20</v>
      </c>
      <c r="Y95" s="139">
        <v>17</v>
      </c>
      <c r="Z95" s="134">
        <v>4</v>
      </c>
      <c r="AA95" s="134">
        <v>3</v>
      </c>
      <c r="AB95" s="134">
        <v>1</v>
      </c>
      <c r="AC95" s="134">
        <v>3</v>
      </c>
      <c r="AD95" s="134">
        <v>1</v>
      </c>
      <c r="AE95" s="134">
        <v>1</v>
      </c>
      <c r="AF95" s="134">
        <v>13</v>
      </c>
      <c r="AG95" s="141">
        <v>5</v>
      </c>
      <c r="AH95" s="138">
        <v>55</v>
      </c>
      <c r="AI95" s="103"/>
      <c r="AJ95" s="103"/>
      <c r="AK95" s="103"/>
      <c r="AL95" s="103"/>
      <c r="AM95" s="103"/>
    </row>
    <row r="96" spans="2:39" ht="15.6" x14ac:dyDescent="0.3">
      <c r="B96" s="8">
        <v>82</v>
      </c>
      <c r="C96" s="47" t="s">
        <v>120</v>
      </c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33">
        <v>5</v>
      </c>
      <c r="T96" s="134">
        <v>4</v>
      </c>
      <c r="U96" s="134">
        <v>4</v>
      </c>
      <c r="V96" s="134">
        <v>2</v>
      </c>
      <c r="W96" s="134">
        <v>4</v>
      </c>
      <c r="X96" s="134">
        <v>19</v>
      </c>
      <c r="Y96" s="139">
        <v>13</v>
      </c>
      <c r="Z96" s="134">
        <v>4</v>
      </c>
      <c r="AA96" s="134">
        <v>3</v>
      </c>
      <c r="AB96" s="134">
        <v>4</v>
      </c>
      <c r="AC96" s="134">
        <v>3</v>
      </c>
      <c r="AD96" s="134">
        <v>0</v>
      </c>
      <c r="AE96" s="134">
        <v>0</v>
      </c>
      <c r="AF96" s="134">
        <v>14</v>
      </c>
      <c r="AG96" s="141">
        <v>0</v>
      </c>
      <c r="AH96" s="138">
        <v>46</v>
      </c>
      <c r="AI96" s="103"/>
      <c r="AJ96" s="103"/>
      <c r="AK96" s="103"/>
      <c r="AL96" s="103"/>
      <c r="AM96" s="103"/>
    </row>
    <row r="97" spans="2:39" ht="15.6" x14ac:dyDescent="0.3">
      <c r="B97" s="8">
        <v>83</v>
      </c>
      <c r="C97" s="47" t="s">
        <v>121</v>
      </c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33">
        <v>5</v>
      </c>
      <c r="T97" s="134">
        <v>5</v>
      </c>
      <c r="U97" s="134">
        <v>8</v>
      </c>
      <c r="V97" s="134">
        <v>2</v>
      </c>
      <c r="W97" s="134">
        <v>6</v>
      </c>
      <c r="X97" s="134">
        <v>26</v>
      </c>
      <c r="Y97" s="139">
        <v>14</v>
      </c>
      <c r="Z97" s="134">
        <v>3</v>
      </c>
      <c r="AA97" s="134">
        <v>3</v>
      </c>
      <c r="AB97" s="134">
        <v>0</v>
      </c>
      <c r="AC97" s="134">
        <v>4</v>
      </c>
      <c r="AD97" s="134">
        <v>1</v>
      </c>
      <c r="AE97" s="134">
        <v>2</v>
      </c>
      <c r="AF97" s="134">
        <v>13</v>
      </c>
      <c r="AG97" s="141">
        <v>5</v>
      </c>
      <c r="AH97" s="138">
        <v>58</v>
      </c>
      <c r="AI97" s="103"/>
      <c r="AJ97" s="103"/>
      <c r="AK97" s="103"/>
      <c r="AL97" s="103"/>
      <c r="AM97" s="103"/>
    </row>
    <row r="98" spans="2:39" ht="15.6" x14ac:dyDescent="0.3">
      <c r="B98" s="8">
        <v>84</v>
      </c>
      <c r="C98" s="47" t="s">
        <v>122</v>
      </c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33">
        <v>5</v>
      </c>
      <c r="T98" s="134">
        <v>2</v>
      </c>
      <c r="U98" s="134">
        <v>6</v>
      </c>
      <c r="V98" s="134">
        <v>0</v>
      </c>
      <c r="W98" s="134">
        <v>0</v>
      </c>
      <c r="X98" s="134">
        <v>13</v>
      </c>
      <c r="Y98" s="139">
        <v>17</v>
      </c>
      <c r="Z98" s="134">
        <v>2</v>
      </c>
      <c r="AA98" s="134">
        <v>2</v>
      </c>
      <c r="AB98" s="134">
        <v>0</v>
      </c>
      <c r="AC98" s="134">
        <v>2</v>
      </c>
      <c r="AD98" s="134">
        <v>0</v>
      </c>
      <c r="AE98" s="134">
        <v>0</v>
      </c>
      <c r="AF98" s="134">
        <v>6</v>
      </c>
      <c r="AG98" s="141">
        <v>0</v>
      </c>
      <c r="AH98" s="138">
        <v>36</v>
      </c>
      <c r="AI98" s="103"/>
      <c r="AJ98" s="103"/>
      <c r="AK98" s="103"/>
      <c r="AL98" s="104"/>
      <c r="AM98" s="103"/>
    </row>
    <row r="99" spans="2:39" ht="15.6" x14ac:dyDescent="0.3">
      <c r="B99" s="8">
        <v>85</v>
      </c>
      <c r="C99" s="47" t="s">
        <v>123</v>
      </c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33">
        <v>5</v>
      </c>
      <c r="T99" s="134">
        <v>5</v>
      </c>
      <c r="U99" s="134">
        <v>8</v>
      </c>
      <c r="V99" s="134">
        <v>3</v>
      </c>
      <c r="W99" s="134">
        <v>6</v>
      </c>
      <c r="X99" s="134">
        <v>27</v>
      </c>
      <c r="Y99" s="139">
        <v>14</v>
      </c>
      <c r="Z99" s="134">
        <v>3</v>
      </c>
      <c r="AA99" s="134">
        <v>3</v>
      </c>
      <c r="AB99" s="134">
        <v>2</v>
      </c>
      <c r="AC99" s="134">
        <v>3</v>
      </c>
      <c r="AD99" s="134">
        <v>1</v>
      </c>
      <c r="AE99" s="134">
        <v>1</v>
      </c>
      <c r="AF99" s="134">
        <v>13</v>
      </c>
      <c r="AG99" s="141">
        <v>5</v>
      </c>
      <c r="AH99" s="138">
        <v>59</v>
      </c>
      <c r="AI99" s="103"/>
      <c r="AJ99" s="103"/>
      <c r="AK99" s="103"/>
      <c r="AL99" s="103"/>
      <c r="AM99" s="103"/>
    </row>
    <row r="100" spans="2:39" ht="15.6" x14ac:dyDescent="0.3">
      <c r="B100" s="8">
        <v>86</v>
      </c>
      <c r="C100" s="47" t="s">
        <v>124</v>
      </c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33">
        <v>4</v>
      </c>
      <c r="T100" s="134">
        <v>5</v>
      </c>
      <c r="U100" s="134">
        <v>5</v>
      </c>
      <c r="V100" s="134">
        <v>2</v>
      </c>
      <c r="W100" s="134">
        <v>5</v>
      </c>
      <c r="X100" s="134">
        <v>21</v>
      </c>
      <c r="Y100" s="139">
        <v>16</v>
      </c>
      <c r="Z100" s="134">
        <v>3</v>
      </c>
      <c r="AA100" s="134">
        <v>3</v>
      </c>
      <c r="AB100" s="134">
        <v>2</v>
      </c>
      <c r="AC100" s="134">
        <v>3</v>
      </c>
      <c r="AD100" s="134">
        <v>0</v>
      </c>
      <c r="AE100" s="134">
        <v>0</v>
      </c>
      <c r="AF100" s="134">
        <v>11</v>
      </c>
      <c r="AG100" s="140">
        <v>5</v>
      </c>
      <c r="AH100" s="138">
        <v>53</v>
      </c>
      <c r="AI100" s="103"/>
      <c r="AJ100" s="103"/>
      <c r="AK100" s="103"/>
      <c r="AL100" s="103"/>
      <c r="AM100" s="103"/>
    </row>
    <row r="101" spans="2:39" ht="15.6" x14ac:dyDescent="0.3">
      <c r="B101" s="8">
        <v>87</v>
      </c>
      <c r="C101" s="47" t="s">
        <v>125</v>
      </c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33">
        <v>4</v>
      </c>
      <c r="T101" s="134">
        <v>5</v>
      </c>
      <c r="U101" s="134">
        <v>4</v>
      </c>
      <c r="V101" s="134">
        <v>1</v>
      </c>
      <c r="W101" s="134">
        <v>5</v>
      </c>
      <c r="X101" s="134">
        <v>19</v>
      </c>
      <c r="Y101" s="139">
        <v>13</v>
      </c>
      <c r="Z101" s="134">
        <v>3</v>
      </c>
      <c r="AA101" s="134">
        <v>3</v>
      </c>
      <c r="AB101" s="134">
        <v>4</v>
      </c>
      <c r="AC101" s="134">
        <v>3</v>
      </c>
      <c r="AD101" s="134">
        <v>0</v>
      </c>
      <c r="AE101" s="134">
        <v>1</v>
      </c>
      <c r="AF101" s="134">
        <v>14</v>
      </c>
      <c r="AG101" s="141">
        <v>5</v>
      </c>
      <c r="AH101" s="138">
        <v>51</v>
      </c>
      <c r="AI101" s="103"/>
      <c r="AJ101" s="103"/>
      <c r="AK101" s="103"/>
      <c r="AL101" s="103"/>
      <c r="AM101" s="103"/>
    </row>
    <row r="102" spans="2:39" ht="15.6" x14ac:dyDescent="0.3">
      <c r="B102" s="8">
        <v>88</v>
      </c>
      <c r="C102" s="47" t="s">
        <v>126</v>
      </c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33">
        <v>1</v>
      </c>
      <c r="T102" s="134">
        <v>1</v>
      </c>
      <c r="U102" s="134">
        <v>1</v>
      </c>
      <c r="V102" s="134">
        <v>0</v>
      </c>
      <c r="W102" s="134">
        <v>0</v>
      </c>
      <c r="X102" s="134">
        <v>3</v>
      </c>
      <c r="Y102" s="139">
        <v>17</v>
      </c>
      <c r="Z102" s="134">
        <v>2</v>
      </c>
      <c r="AA102" s="134">
        <v>1</v>
      </c>
      <c r="AB102" s="134">
        <v>0</v>
      </c>
      <c r="AC102" s="134">
        <v>0</v>
      </c>
      <c r="AD102" s="134">
        <v>0</v>
      </c>
      <c r="AE102" s="134">
        <v>0</v>
      </c>
      <c r="AF102" s="134">
        <v>3</v>
      </c>
      <c r="AG102" s="141">
        <v>0</v>
      </c>
      <c r="AH102" s="138">
        <v>23</v>
      </c>
      <c r="AI102" s="103"/>
      <c r="AJ102" s="103"/>
      <c r="AK102" s="103"/>
      <c r="AL102" s="104"/>
      <c r="AM102" s="103"/>
    </row>
    <row r="103" spans="2:39" ht="15.6" x14ac:dyDescent="0.3">
      <c r="B103" s="8">
        <v>89</v>
      </c>
      <c r="C103" s="47" t="s">
        <v>127</v>
      </c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33">
        <v>5</v>
      </c>
      <c r="T103" s="134">
        <v>5</v>
      </c>
      <c r="U103" s="134">
        <v>7</v>
      </c>
      <c r="V103" s="134">
        <v>3</v>
      </c>
      <c r="W103" s="134">
        <v>6</v>
      </c>
      <c r="X103" s="134">
        <v>26</v>
      </c>
      <c r="Y103" s="139">
        <v>18</v>
      </c>
      <c r="Z103" s="134">
        <v>4</v>
      </c>
      <c r="AA103" s="134">
        <v>2</v>
      </c>
      <c r="AB103" s="134">
        <v>2</v>
      </c>
      <c r="AC103" s="134">
        <v>3</v>
      </c>
      <c r="AD103" s="134">
        <v>2</v>
      </c>
      <c r="AE103" s="134">
        <v>2</v>
      </c>
      <c r="AF103" s="134">
        <v>15</v>
      </c>
      <c r="AG103" s="141">
        <v>0</v>
      </c>
      <c r="AH103" s="138">
        <v>59</v>
      </c>
      <c r="AI103" s="103"/>
      <c r="AJ103" s="103"/>
      <c r="AK103" s="103"/>
      <c r="AL103" s="104"/>
      <c r="AM103" s="103"/>
    </row>
    <row r="104" spans="2:39" ht="15.6" x14ac:dyDescent="0.3">
      <c r="B104" s="8">
        <v>90</v>
      </c>
      <c r="C104" s="47" t="s">
        <v>128</v>
      </c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33">
        <v>5</v>
      </c>
      <c r="T104" s="134">
        <v>5</v>
      </c>
      <c r="U104" s="134">
        <v>5</v>
      </c>
      <c r="V104" s="134">
        <v>3</v>
      </c>
      <c r="W104" s="134">
        <v>4</v>
      </c>
      <c r="X104" s="134">
        <v>22</v>
      </c>
      <c r="Y104" s="139">
        <v>16</v>
      </c>
      <c r="Z104" s="134">
        <v>3</v>
      </c>
      <c r="AA104" s="134">
        <v>3</v>
      </c>
      <c r="AB104" s="134">
        <v>0</v>
      </c>
      <c r="AC104" s="134">
        <v>2</v>
      </c>
      <c r="AD104" s="134">
        <v>0</v>
      </c>
      <c r="AE104" s="134">
        <v>0</v>
      </c>
      <c r="AF104" s="134">
        <v>8</v>
      </c>
      <c r="AG104" s="141">
        <v>5</v>
      </c>
      <c r="AH104" s="138">
        <v>51</v>
      </c>
      <c r="AI104" s="103"/>
      <c r="AJ104" s="103"/>
      <c r="AK104" s="103"/>
      <c r="AL104" s="103"/>
      <c r="AM104" s="103"/>
    </row>
    <row r="105" spans="2:39" ht="15.6" x14ac:dyDescent="0.3">
      <c r="B105" s="8">
        <v>91</v>
      </c>
      <c r="C105" s="47" t="s">
        <v>129</v>
      </c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33">
        <v>4</v>
      </c>
      <c r="T105" s="134">
        <v>4</v>
      </c>
      <c r="U105" s="134">
        <v>2</v>
      </c>
      <c r="V105" s="134">
        <v>1</v>
      </c>
      <c r="W105" s="134">
        <v>0</v>
      </c>
      <c r="X105" s="134">
        <v>11</v>
      </c>
      <c r="Y105" s="139">
        <v>19</v>
      </c>
      <c r="Z105" s="134">
        <v>1</v>
      </c>
      <c r="AA105" s="134">
        <v>1</v>
      </c>
      <c r="AB105" s="134">
        <v>0</v>
      </c>
      <c r="AC105" s="134">
        <v>0</v>
      </c>
      <c r="AD105" s="134">
        <v>0</v>
      </c>
      <c r="AE105" s="134">
        <v>0</v>
      </c>
      <c r="AF105" s="134">
        <v>2</v>
      </c>
      <c r="AG105" s="141">
        <v>0</v>
      </c>
      <c r="AH105" s="138">
        <v>32</v>
      </c>
      <c r="AI105" s="104"/>
      <c r="AJ105" s="104"/>
      <c r="AK105" s="104"/>
      <c r="AL105" s="104"/>
      <c r="AM105" s="104"/>
    </row>
    <row r="106" spans="2:39" ht="15.6" x14ac:dyDescent="0.3">
      <c r="B106" s="8">
        <v>92</v>
      </c>
      <c r="C106" s="47" t="s">
        <v>130</v>
      </c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33">
        <v>6</v>
      </c>
      <c r="T106" s="134">
        <v>5</v>
      </c>
      <c r="U106" s="134">
        <v>8</v>
      </c>
      <c r="V106" s="134">
        <v>3</v>
      </c>
      <c r="W106" s="134">
        <v>5</v>
      </c>
      <c r="X106" s="134">
        <v>27</v>
      </c>
      <c r="Y106" s="139">
        <v>16</v>
      </c>
      <c r="Z106" s="134">
        <v>4</v>
      </c>
      <c r="AA106" s="134">
        <v>3</v>
      </c>
      <c r="AB106" s="134">
        <v>4</v>
      </c>
      <c r="AC106" s="134">
        <v>3</v>
      </c>
      <c r="AD106" s="134">
        <v>1</v>
      </c>
      <c r="AE106" s="134">
        <v>2</v>
      </c>
      <c r="AF106" s="134">
        <v>17</v>
      </c>
      <c r="AG106" s="141">
        <v>5</v>
      </c>
      <c r="AH106" s="138">
        <v>65</v>
      </c>
      <c r="AI106" s="103"/>
      <c r="AJ106" s="103"/>
      <c r="AK106" s="103"/>
      <c r="AL106" s="104"/>
      <c r="AM106" s="103"/>
    </row>
    <row r="107" spans="2:39" ht="15.6" x14ac:dyDescent="0.3">
      <c r="B107" s="8">
        <v>93</v>
      </c>
      <c r="C107" s="47" t="s">
        <v>131</v>
      </c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33">
        <v>5</v>
      </c>
      <c r="T107" s="134">
        <v>5</v>
      </c>
      <c r="U107" s="134">
        <v>7</v>
      </c>
      <c r="V107" s="134">
        <v>4</v>
      </c>
      <c r="W107" s="134">
        <v>6</v>
      </c>
      <c r="X107" s="134">
        <v>27</v>
      </c>
      <c r="Y107" s="139">
        <v>15</v>
      </c>
      <c r="Z107" s="134">
        <v>3</v>
      </c>
      <c r="AA107" s="134">
        <v>3</v>
      </c>
      <c r="AB107" s="134">
        <v>4</v>
      </c>
      <c r="AC107" s="134">
        <v>3</v>
      </c>
      <c r="AD107" s="134">
        <v>1</v>
      </c>
      <c r="AE107" s="134">
        <v>2</v>
      </c>
      <c r="AF107" s="134">
        <v>16</v>
      </c>
      <c r="AG107" s="141">
        <v>5</v>
      </c>
      <c r="AH107" s="138">
        <v>63</v>
      </c>
      <c r="AI107" s="103"/>
      <c r="AJ107" s="103"/>
      <c r="AK107" s="103"/>
      <c r="AL107" s="103"/>
      <c r="AM107" s="103"/>
    </row>
    <row r="108" spans="2:39" ht="15.6" x14ac:dyDescent="0.3">
      <c r="B108" s="8">
        <v>94</v>
      </c>
      <c r="C108" s="47" t="s">
        <v>132</v>
      </c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33">
        <v>5</v>
      </c>
      <c r="T108" s="134">
        <v>4</v>
      </c>
      <c r="U108" s="134">
        <v>7</v>
      </c>
      <c r="V108" s="134">
        <v>2</v>
      </c>
      <c r="W108" s="134">
        <v>5</v>
      </c>
      <c r="X108" s="134">
        <v>23</v>
      </c>
      <c r="Y108" s="139">
        <v>14</v>
      </c>
      <c r="Z108" s="134">
        <v>2</v>
      </c>
      <c r="AA108" s="134">
        <v>2</v>
      </c>
      <c r="AB108" s="134">
        <v>0</v>
      </c>
      <c r="AC108" s="134">
        <v>3</v>
      </c>
      <c r="AD108" s="134">
        <v>1</v>
      </c>
      <c r="AE108" s="134">
        <v>1</v>
      </c>
      <c r="AF108" s="134">
        <v>9</v>
      </c>
      <c r="AG108" s="141">
        <v>5</v>
      </c>
      <c r="AH108" s="138">
        <v>51</v>
      </c>
      <c r="AI108" s="103"/>
      <c r="AJ108" s="103"/>
      <c r="AK108" s="103"/>
      <c r="AL108" s="103"/>
      <c r="AM108" s="103"/>
    </row>
    <row r="109" spans="2:39" ht="15.6" x14ac:dyDescent="0.3">
      <c r="B109" s="8">
        <v>95</v>
      </c>
      <c r="C109" s="47" t="s">
        <v>133</v>
      </c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33">
        <v>6</v>
      </c>
      <c r="T109" s="134">
        <v>4</v>
      </c>
      <c r="U109" s="134">
        <v>8</v>
      </c>
      <c r="V109" s="134">
        <v>3</v>
      </c>
      <c r="W109" s="134">
        <v>6</v>
      </c>
      <c r="X109" s="134">
        <v>27</v>
      </c>
      <c r="Y109" s="139">
        <v>15</v>
      </c>
      <c r="Z109" s="134">
        <v>4</v>
      </c>
      <c r="AA109" s="134">
        <v>3</v>
      </c>
      <c r="AB109" s="134">
        <v>2</v>
      </c>
      <c r="AC109" s="134">
        <v>4</v>
      </c>
      <c r="AD109" s="134">
        <v>0</v>
      </c>
      <c r="AE109" s="134">
        <v>2</v>
      </c>
      <c r="AF109" s="134">
        <v>15</v>
      </c>
      <c r="AG109" s="141">
        <v>5</v>
      </c>
      <c r="AH109" s="138">
        <v>62</v>
      </c>
      <c r="AI109" s="103"/>
      <c r="AJ109" s="103"/>
      <c r="AK109" s="103"/>
      <c r="AL109" s="103"/>
      <c r="AM109" s="103"/>
    </row>
    <row r="110" spans="2:39" ht="15.6" x14ac:dyDescent="0.3">
      <c r="B110" s="8">
        <v>96</v>
      </c>
      <c r="C110" s="47" t="s">
        <v>134</v>
      </c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33">
        <v>5</v>
      </c>
      <c r="T110" s="134">
        <v>2</v>
      </c>
      <c r="U110" s="134">
        <v>6</v>
      </c>
      <c r="V110" s="134">
        <v>3</v>
      </c>
      <c r="W110" s="134">
        <v>2</v>
      </c>
      <c r="X110" s="134">
        <v>18</v>
      </c>
      <c r="Y110" s="139">
        <v>17</v>
      </c>
      <c r="Z110" s="134">
        <v>3</v>
      </c>
      <c r="AA110" s="134">
        <v>2</v>
      </c>
      <c r="AB110" s="134">
        <v>1</v>
      </c>
      <c r="AC110" s="134">
        <v>3</v>
      </c>
      <c r="AD110" s="134">
        <v>0</v>
      </c>
      <c r="AE110" s="134">
        <v>0</v>
      </c>
      <c r="AF110" s="134">
        <v>9</v>
      </c>
      <c r="AG110" s="141">
        <v>0</v>
      </c>
      <c r="AH110" s="138">
        <v>44</v>
      </c>
      <c r="AI110" s="103"/>
      <c r="AJ110" s="103"/>
      <c r="AK110" s="103"/>
      <c r="AL110" s="103"/>
      <c r="AM110" s="103"/>
    </row>
    <row r="111" spans="2:39" ht="15.6" x14ac:dyDescent="0.3">
      <c r="B111" s="8">
        <v>97</v>
      </c>
      <c r="C111" s="47" t="s">
        <v>135</v>
      </c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33">
        <v>4</v>
      </c>
      <c r="T111" s="134">
        <v>2</v>
      </c>
      <c r="U111" s="134">
        <v>4</v>
      </c>
      <c r="V111" s="134">
        <v>2</v>
      </c>
      <c r="W111" s="134">
        <v>2</v>
      </c>
      <c r="X111" s="134">
        <v>14</v>
      </c>
      <c r="Y111" s="139">
        <v>8</v>
      </c>
      <c r="Z111" s="134">
        <v>2</v>
      </c>
      <c r="AA111" s="134">
        <v>2</v>
      </c>
      <c r="AB111" s="134">
        <v>0</v>
      </c>
      <c r="AC111" s="134">
        <v>3</v>
      </c>
      <c r="AD111" s="134">
        <v>0</v>
      </c>
      <c r="AE111" s="134">
        <v>1</v>
      </c>
      <c r="AF111" s="134">
        <v>8</v>
      </c>
      <c r="AG111" s="141">
        <v>0</v>
      </c>
      <c r="AH111" s="138">
        <v>30</v>
      </c>
      <c r="AI111" s="103"/>
      <c r="AJ111" s="103"/>
      <c r="AK111" s="103"/>
      <c r="AL111" s="103"/>
      <c r="AM111" s="103"/>
    </row>
    <row r="112" spans="2:39" ht="15.6" x14ac:dyDescent="0.3">
      <c r="B112" s="8">
        <v>98</v>
      </c>
      <c r="C112" s="47" t="s">
        <v>136</v>
      </c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33">
        <v>5</v>
      </c>
      <c r="T112" s="134">
        <v>3</v>
      </c>
      <c r="U112" s="134">
        <v>3</v>
      </c>
      <c r="V112" s="134">
        <v>3</v>
      </c>
      <c r="W112" s="134">
        <v>4</v>
      </c>
      <c r="X112" s="134">
        <v>18</v>
      </c>
      <c r="Y112" s="139">
        <v>14</v>
      </c>
      <c r="Z112" s="134">
        <v>3</v>
      </c>
      <c r="AA112" s="134">
        <v>3</v>
      </c>
      <c r="AB112" s="134">
        <v>0</v>
      </c>
      <c r="AC112" s="134">
        <v>4</v>
      </c>
      <c r="AD112" s="134">
        <v>0</v>
      </c>
      <c r="AE112" s="134">
        <v>2</v>
      </c>
      <c r="AF112" s="134">
        <v>12</v>
      </c>
      <c r="AG112" s="141">
        <v>0</v>
      </c>
      <c r="AH112" s="138">
        <v>44</v>
      </c>
      <c r="AI112" s="103"/>
      <c r="AJ112" s="103"/>
      <c r="AK112" s="103"/>
      <c r="AL112" s="104"/>
      <c r="AM112" s="103"/>
    </row>
    <row r="113" spans="2:39" ht="15.6" x14ac:dyDescent="0.3">
      <c r="B113" s="8">
        <v>99</v>
      </c>
      <c r="C113" s="47" t="s">
        <v>137</v>
      </c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33">
        <v>1</v>
      </c>
      <c r="T113" s="134">
        <v>4</v>
      </c>
      <c r="U113" s="134">
        <v>3</v>
      </c>
      <c r="V113" s="134">
        <v>1</v>
      </c>
      <c r="W113" s="134">
        <v>2</v>
      </c>
      <c r="X113" s="134">
        <v>11</v>
      </c>
      <c r="Y113" s="139">
        <v>14</v>
      </c>
      <c r="Z113" s="134">
        <v>3</v>
      </c>
      <c r="AA113" s="134">
        <v>3</v>
      </c>
      <c r="AB113" s="134">
        <v>0</v>
      </c>
      <c r="AC113" s="134">
        <v>2</v>
      </c>
      <c r="AD113" s="134">
        <v>0</v>
      </c>
      <c r="AE113" s="134">
        <v>2</v>
      </c>
      <c r="AF113" s="134">
        <v>10</v>
      </c>
      <c r="AG113" s="141">
        <v>0</v>
      </c>
      <c r="AH113" s="138">
        <v>35</v>
      </c>
      <c r="AI113" s="103"/>
      <c r="AJ113" s="103"/>
      <c r="AK113" s="103"/>
      <c r="AL113" s="103"/>
      <c r="AM113" s="103"/>
    </row>
    <row r="114" spans="2:39" ht="15.6" x14ac:dyDescent="0.3">
      <c r="B114" s="8">
        <v>100</v>
      </c>
      <c r="C114" s="47" t="s">
        <v>138</v>
      </c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33">
        <v>5</v>
      </c>
      <c r="T114" s="134">
        <v>4</v>
      </c>
      <c r="U114" s="134">
        <v>4</v>
      </c>
      <c r="V114" s="134">
        <v>2</v>
      </c>
      <c r="W114" s="134">
        <v>2</v>
      </c>
      <c r="X114" s="134">
        <v>17</v>
      </c>
      <c r="Y114" s="139">
        <v>19</v>
      </c>
      <c r="Z114" s="134">
        <v>2</v>
      </c>
      <c r="AA114" s="134">
        <v>2</v>
      </c>
      <c r="AB114" s="134">
        <v>1</v>
      </c>
      <c r="AC114" s="134">
        <v>2</v>
      </c>
      <c r="AD114" s="134">
        <v>0</v>
      </c>
      <c r="AE114" s="134">
        <v>2</v>
      </c>
      <c r="AF114" s="134">
        <v>9</v>
      </c>
      <c r="AG114" s="141">
        <v>5</v>
      </c>
      <c r="AH114" s="138">
        <v>50</v>
      </c>
      <c r="AI114" s="103"/>
      <c r="AJ114" s="103"/>
      <c r="AK114" s="103"/>
      <c r="AL114" s="103"/>
      <c r="AM114" s="103"/>
    </row>
    <row r="115" spans="2:39" ht="15.6" x14ac:dyDescent="0.3">
      <c r="B115" s="8">
        <v>101</v>
      </c>
      <c r="C115" s="47" t="s">
        <v>139</v>
      </c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33">
        <v>2</v>
      </c>
      <c r="T115" s="134">
        <v>2</v>
      </c>
      <c r="U115" s="134">
        <v>4</v>
      </c>
      <c r="V115" s="134">
        <v>1</v>
      </c>
      <c r="W115" s="134">
        <v>2</v>
      </c>
      <c r="X115" s="134">
        <v>11</v>
      </c>
      <c r="Y115" s="139">
        <v>18</v>
      </c>
      <c r="Z115" s="134">
        <v>2</v>
      </c>
      <c r="AA115" s="134">
        <v>2</v>
      </c>
      <c r="AB115" s="134">
        <v>4</v>
      </c>
      <c r="AC115" s="134">
        <v>2</v>
      </c>
      <c r="AD115" s="134">
        <v>0</v>
      </c>
      <c r="AE115" s="134">
        <v>0</v>
      </c>
      <c r="AF115" s="134">
        <v>10</v>
      </c>
      <c r="AG115" s="141">
        <v>0</v>
      </c>
      <c r="AH115" s="138">
        <v>39</v>
      </c>
      <c r="AI115" s="103"/>
      <c r="AJ115" s="103"/>
      <c r="AK115" s="103"/>
      <c r="AL115" s="103"/>
      <c r="AM115" s="103"/>
    </row>
    <row r="116" spans="2:39" ht="15.6" x14ac:dyDescent="0.3">
      <c r="B116" s="8">
        <v>102</v>
      </c>
      <c r="C116" s="47" t="s">
        <v>140</v>
      </c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33">
        <v>5</v>
      </c>
      <c r="T116" s="134">
        <v>4</v>
      </c>
      <c r="U116" s="134">
        <v>6</v>
      </c>
      <c r="V116" s="134">
        <v>2</v>
      </c>
      <c r="W116" s="134">
        <v>2</v>
      </c>
      <c r="X116" s="134">
        <v>19</v>
      </c>
      <c r="Y116" s="139">
        <v>16</v>
      </c>
      <c r="Z116" s="134">
        <v>2</v>
      </c>
      <c r="AA116" s="134">
        <v>3</v>
      </c>
      <c r="AB116" s="134">
        <v>0</v>
      </c>
      <c r="AC116" s="134">
        <v>2</v>
      </c>
      <c r="AD116" s="134">
        <v>0</v>
      </c>
      <c r="AE116" s="134">
        <v>2</v>
      </c>
      <c r="AF116" s="134">
        <v>9</v>
      </c>
      <c r="AG116" s="141">
        <v>5</v>
      </c>
      <c r="AH116" s="138">
        <v>49</v>
      </c>
      <c r="AI116" s="103"/>
      <c r="AJ116" s="103"/>
      <c r="AK116" s="103"/>
      <c r="AL116" s="103"/>
      <c r="AM116" s="103"/>
    </row>
    <row r="117" spans="2:39" ht="15.6" x14ac:dyDescent="0.3">
      <c r="B117" s="8">
        <v>103</v>
      </c>
      <c r="C117" s="47" t="s">
        <v>141</v>
      </c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33">
        <v>6</v>
      </c>
      <c r="T117" s="134">
        <v>6</v>
      </c>
      <c r="U117" s="134">
        <v>6</v>
      </c>
      <c r="V117" s="134">
        <v>3</v>
      </c>
      <c r="W117" s="134">
        <v>4</v>
      </c>
      <c r="X117" s="134">
        <v>25</v>
      </c>
      <c r="Y117" s="139">
        <v>19</v>
      </c>
      <c r="Z117" s="134">
        <v>4</v>
      </c>
      <c r="AA117" s="134">
        <v>4</v>
      </c>
      <c r="AB117" s="134">
        <v>2</v>
      </c>
      <c r="AC117" s="134">
        <v>4</v>
      </c>
      <c r="AD117" s="134">
        <v>1</v>
      </c>
      <c r="AE117" s="134">
        <v>2</v>
      </c>
      <c r="AF117" s="134">
        <v>17</v>
      </c>
      <c r="AG117" s="141">
        <v>5</v>
      </c>
      <c r="AH117" s="138">
        <v>66</v>
      </c>
      <c r="AI117" s="103"/>
      <c r="AJ117" s="103"/>
      <c r="AK117" s="103"/>
      <c r="AL117" s="103"/>
      <c r="AM117" s="103"/>
    </row>
    <row r="118" spans="2:39" ht="15.6" x14ac:dyDescent="0.3">
      <c r="B118" s="8">
        <v>104</v>
      </c>
      <c r="C118" s="47" t="s">
        <v>142</v>
      </c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33">
        <v>4</v>
      </c>
      <c r="T118" s="134">
        <v>3</v>
      </c>
      <c r="U118" s="134">
        <v>6</v>
      </c>
      <c r="V118" s="134">
        <v>3</v>
      </c>
      <c r="W118" s="134">
        <v>5</v>
      </c>
      <c r="X118" s="134">
        <v>21</v>
      </c>
      <c r="Y118" s="139">
        <v>8</v>
      </c>
      <c r="Z118" s="134">
        <v>4</v>
      </c>
      <c r="AA118" s="134">
        <v>3</v>
      </c>
      <c r="AB118" s="134">
        <v>2</v>
      </c>
      <c r="AC118" s="134">
        <v>3</v>
      </c>
      <c r="AD118" s="134">
        <v>1</v>
      </c>
      <c r="AE118" s="134">
        <v>1</v>
      </c>
      <c r="AF118" s="134">
        <v>14</v>
      </c>
      <c r="AG118" s="140">
        <v>5</v>
      </c>
      <c r="AH118" s="138">
        <v>48</v>
      </c>
      <c r="AI118" s="103"/>
      <c r="AJ118" s="103"/>
      <c r="AK118" s="103"/>
      <c r="AL118" s="103"/>
      <c r="AM118" s="103"/>
    </row>
    <row r="119" spans="2:39" ht="15.6" x14ac:dyDescent="0.3">
      <c r="B119" s="8">
        <v>105</v>
      </c>
      <c r="C119" s="47" t="s">
        <v>143</v>
      </c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33">
        <v>4</v>
      </c>
      <c r="T119" s="134">
        <v>3</v>
      </c>
      <c r="U119" s="134">
        <v>6</v>
      </c>
      <c r="V119" s="134">
        <v>3</v>
      </c>
      <c r="W119" s="134">
        <v>6</v>
      </c>
      <c r="X119" s="134">
        <v>22</v>
      </c>
      <c r="Y119" s="139">
        <v>16</v>
      </c>
      <c r="Z119" s="134">
        <v>4</v>
      </c>
      <c r="AA119" s="134">
        <v>3</v>
      </c>
      <c r="AB119" s="134">
        <v>2</v>
      </c>
      <c r="AC119" s="134">
        <v>2</v>
      </c>
      <c r="AD119" s="134">
        <v>1</v>
      </c>
      <c r="AE119" s="134">
        <v>1</v>
      </c>
      <c r="AF119" s="134">
        <v>13</v>
      </c>
      <c r="AG119" s="141">
        <v>5</v>
      </c>
      <c r="AH119" s="138">
        <v>56</v>
      </c>
      <c r="AI119" s="103"/>
      <c r="AJ119" s="103"/>
      <c r="AK119" s="103"/>
      <c r="AL119" s="103"/>
      <c r="AM119" s="103"/>
    </row>
    <row r="120" spans="2:39" ht="15.6" x14ac:dyDescent="0.3">
      <c r="B120" s="8">
        <v>106</v>
      </c>
      <c r="C120" s="47" t="s">
        <v>144</v>
      </c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33">
        <v>4</v>
      </c>
      <c r="T120" s="134">
        <v>6</v>
      </c>
      <c r="U120" s="134">
        <v>8</v>
      </c>
      <c r="V120" s="134">
        <v>3</v>
      </c>
      <c r="W120" s="134">
        <v>5</v>
      </c>
      <c r="X120" s="134">
        <v>26</v>
      </c>
      <c r="Y120" s="139">
        <v>18</v>
      </c>
      <c r="Z120" s="134">
        <v>4</v>
      </c>
      <c r="AA120" s="134">
        <v>4</v>
      </c>
      <c r="AB120" s="134">
        <v>1</v>
      </c>
      <c r="AC120" s="134">
        <v>3</v>
      </c>
      <c r="AD120" s="134">
        <v>1</v>
      </c>
      <c r="AE120" s="134">
        <v>1</v>
      </c>
      <c r="AF120" s="134">
        <v>14</v>
      </c>
      <c r="AG120" s="141">
        <v>5</v>
      </c>
      <c r="AH120" s="138">
        <v>63</v>
      </c>
      <c r="AI120" s="103"/>
      <c r="AJ120" s="103"/>
      <c r="AK120" s="103"/>
      <c r="AL120" s="103"/>
      <c r="AM120" s="103"/>
    </row>
    <row r="121" spans="2:39" ht="15.6" x14ac:dyDescent="0.3">
      <c r="B121" s="8">
        <v>107</v>
      </c>
      <c r="C121" s="47" t="s">
        <v>145</v>
      </c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33">
        <v>2</v>
      </c>
      <c r="T121" s="134">
        <v>1</v>
      </c>
      <c r="U121" s="134">
        <v>2</v>
      </c>
      <c r="V121" s="134">
        <v>2</v>
      </c>
      <c r="W121" s="134">
        <v>4</v>
      </c>
      <c r="X121" s="134">
        <v>11</v>
      </c>
      <c r="Y121" s="139">
        <v>16</v>
      </c>
      <c r="Z121" s="134">
        <v>4</v>
      </c>
      <c r="AA121" s="134">
        <v>3</v>
      </c>
      <c r="AB121" s="134">
        <v>0</v>
      </c>
      <c r="AC121" s="134">
        <v>3</v>
      </c>
      <c r="AD121" s="134">
        <v>0</v>
      </c>
      <c r="AE121" s="134">
        <v>0</v>
      </c>
      <c r="AF121" s="134">
        <v>10</v>
      </c>
      <c r="AG121" s="141">
        <v>5</v>
      </c>
      <c r="AH121" s="138">
        <v>42</v>
      </c>
      <c r="AI121" s="103"/>
      <c r="AJ121" s="103"/>
      <c r="AK121" s="103"/>
      <c r="AL121" s="103"/>
      <c r="AM121" s="103"/>
    </row>
    <row r="122" spans="2:39" ht="15.6" x14ac:dyDescent="0.3">
      <c r="B122" s="8">
        <v>108</v>
      </c>
      <c r="C122" s="47" t="s">
        <v>146</v>
      </c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33">
        <v>5</v>
      </c>
      <c r="T122" s="134">
        <v>2</v>
      </c>
      <c r="U122" s="134">
        <v>6</v>
      </c>
      <c r="V122" s="134">
        <v>3</v>
      </c>
      <c r="W122" s="134">
        <v>4</v>
      </c>
      <c r="X122" s="134">
        <v>20</v>
      </c>
      <c r="Y122" s="139">
        <v>17</v>
      </c>
      <c r="Z122" s="134">
        <v>3</v>
      </c>
      <c r="AA122" s="134">
        <v>3</v>
      </c>
      <c r="AB122" s="134">
        <v>1</v>
      </c>
      <c r="AC122" s="134">
        <v>2</v>
      </c>
      <c r="AD122" s="134">
        <v>0</v>
      </c>
      <c r="AE122" s="134">
        <v>2</v>
      </c>
      <c r="AF122" s="134">
        <v>11</v>
      </c>
      <c r="AG122" s="141">
        <v>0</v>
      </c>
      <c r="AH122" s="138">
        <v>48</v>
      </c>
      <c r="AI122" s="103"/>
      <c r="AJ122" s="103"/>
      <c r="AK122" s="103"/>
      <c r="AL122" s="103"/>
      <c r="AM122" s="103"/>
    </row>
    <row r="123" spans="2:39" ht="15.6" x14ac:dyDescent="0.3">
      <c r="B123" s="8">
        <v>109</v>
      </c>
      <c r="C123" s="47" t="s">
        <v>147</v>
      </c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33">
        <v>5</v>
      </c>
      <c r="T123" s="134">
        <v>4</v>
      </c>
      <c r="U123" s="134">
        <v>5</v>
      </c>
      <c r="V123" s="134">
        <v>2</v>
      </c>
      <c r="W123" s="134">
        <v>5</v>
      </c>
      <c r="X123" s="134">
        <v>21</v>
      </c>
      <c r="Y123" s="139">
        <v>19</v>
      </c>
      <c r="Z123" s="134">
        <v>3</v>
      </c>
      <c r="AA123" s="134">
        <v>2</v>
      </c>
      <c r="AB123" s="134">
        <v>1</v>
      </c>
      <c r="AC123" s="134">
        <v>3</v>
      </c>
      <c r="AD123" s="134">
        <v>0</v>
      </c>
      <c r="AE123" s="134">
        <v>1</v>
      </c>
      <c r="AF123" s="134">
        <v>10</v>
      </c>
      <c r="AG123" s="141">
        <v>0</v>
      </c>
      <c r="AH123" s="138">
        <v>50</v>
      </c>
      <c r="AI123" s="103"/>
      <c r="AJ123" s="103"/>
      <c r="AK123" s="103"/>
      <c r="AL123" s="103"/>
      <c r="AM123" s="103"/>
    </row>
    <row r="124" spans="2:39" ht="15.6" x14ac:dyDescent="0.3">
      <c r="B124" s="8">
        <v>110</v>
      </c>
      <c r="C124" s="47" t="s">
        <v>148</v>
      </c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33">
        <v>2</v>
      </c>
      <c r="T124" s="134">
        <v>2</v>
      </c>
      <c r="U124" s="134">
        <v>4</v>
      </c>
      <c r="V124" s="134">
        <v>0</v>
      </c>
      <c r="W124" s="134">
        <v>0</v>
      </c>
      <c r="X124" s="134">
        <v>8</v>
      </c>
      <c r="Y124" s="139">
        <v>20</v>
      </c>
      <c r="Z124" s="134">
        <v>3</v>
      </c>
      <c r="AA124" s="134">
        <v>3</v>
      </c>
      <c r="AB124" s="134">
        <v>0</v>
      </c>
      <c r="AC124" s="134">
        <v>1</v>
      </c>
      <c r="AD124" s="134">
        <v>0</v>
      </c>
      <c r="AE124" s="134">
        <v>0</v>
      </c>
      <c r="AF124" s="134">
        <v>7</v>
      </c>
      <c r="AG124" s="141">
        <v>0</v>
      </c>
      <c r="AH124" s="138">
        <v>35</v>
      </c>
      <c r="AI124" s="103"/>
      <c r="AJ124" s="103"/>
      <c r="AK124" s="103"/>
      <c r="AL124" s="104"/>
      <c r="AM124" s="103"/>
    </row>
    <row r="125" spans="2:39" ht="15.6" x14ac:dyDescent="0.3">
      <c r="B125" s="8">
        <v>111</v>
      </c>
      <c r="C125" s="47" t="s">
        <v>149</v>
      </c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33">
        <v>5</v>
      </c>
      <c r="T125" s="134">
        <v>5</v>
      </c>
      <c r="U125" s="134">
        <v>4</v>
      </c>
      <c r="V125" s="134">
        <v>1</v>
      </c>
      <c r="W125" s="134">
        <v>1</v>
      </c>
      <c r="X125" s="134">
        <v>16</v>
      </c>
      <c r="Y125" s="139">
        <v>18</v>
      </c>
      <c r="Z125" s="134">
        <v>4</v>
      </c>
      <c r="AA125" s="134">
        <v>2</v>
      </c>
      <c r="AB125" s="134">
        <v>1</v>
      </c>
      <c r="AC125" s="134">
        <v>0</v>
      </c>
      <c r="AD125" s="134">
        <v>0</v>
      </c>
      <c r="AE125" s="134">
        <v>0</v>
      </c>
      <c r="AF125" s="134">
        <v>7</v>
      </c>
      <c r="AG125" s="140">
        <v>0</v>
      </c>
      <c r="AH125" s="138">
        <v>41</v>
      </c>
      <c r="AI125" s="103"/>
      <c r="AJ125" s="103"/>
      <c r="AK125" s="103"/>
      <c r="AL125" s="103"/>
      <c r="AM125" s="103"/>
    </row>
    <row r="126" spans="2:39" ht="15.6" x14ac:dyDescent="0.3">
      <c r="B126" s="8">
        <v>112</v>
      </c>
      <c r="C126" s="47" t="s">
        <v>150</v>
      </c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33">
        <v>4</v>
      </c>
      <c r="T126" s="134">
        <v>5</v>
      </c>
      <c r="U126" s="134">
        <v>6</v>
      </c>
      <c r="V126" s="134">
        <v>3</v>
      </c>
      <c r="W126" s="134">
        <v>4</v>
      </c>
      <c r="X126" s="134">
        <v>22</v>
      </c>
      <c r="Y126" s="139">
        <v>18</v>
      </c>
      <c r="Z126" s="134">
        <v>4</v>
      </c>
      <c r="AA126" s="134">
        <v>2</v>
      </c>
      <c r="AB126" s="134">
        <v>2</v>
      </c>
      <c r="AC126" s="134">
        <v>3</v>
      </c>
      <c r="AD126" s="134">
        <v>0</v>
      </c>
      <c r="AE126" s="134">
        <v>1</v>
      </c>
      <c r="AF126" s="134">
        <v>12</v>
      </c>
      <c r="AG126" s="141">
        <v>5</v>
      </c>
      <c r="AH126" s="138">
        <v>57</v>
      </c>
      <c r="AI126" s="103"/>
      <c r="AJ126" s="103"/>
      <c r="AK126" s="103"/>
      <c r="AL126" s="104"/>
      <c r="AM126" s="103"/>
    </row>
    <row r="127" spans="2:39" ht="15.6" x14ac:dyDescent="0.3">
      <c r="B127" s="8">
        <v>113</v>
      </c>
      <c r="C127" s="47" t="s">
        <v>151</v>
      </c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33">
        <v>5</v>
      </c>
      <c r="T127" s="134">
        <v>5</v>
      </c>
      <c r="U127" s="134">
        <v>7</v>
      </c>
      <c r="V127" s="134">
        <v>3</v>
      </c>
      <c r="W127" s="134">
        <v>6</v>
      </c>
      <c r="X127" s="134">
        <v>26</v>
      </c>
      <c r="Y127" s="139">
        <v>17</v>
      </c>
      <c r="Z127" s="134">
        <v>4</v>
      </c>
      <c r="AA127" s="134">
        <v>3</v>
      </c>
      <c r="AB127" s="134">
        <v>2</v>
      </c>
      <c r="AC127" s="134">
        <v>3</v>
      </c>
      <c r="AD127" s="134">
        <v>1</v>
      </c>
      <c r="AE127" s="134">
        <v>1</v>
      </c>
      <c r="AF127" s="134">
        <v>14</v>
      </c>
      <c r="AG127" s="141">
        <v>5</v>
      </c>
      <c r="AH127" s="138">
        <v>62</v>
      </c>
      <c r="AI127" s="103"/>
      <c r="AJ127" s="103"/>
      <c r="AK127" s="103"/>
      <c r="AL127" s="103"/>
      <c r="AM127" s="103"/>
    </row>
    <row r="128" spans="2:39" ht="15.6" x14ac:dyDescent="0.3">
      <c r="B128" s="8">
        <v>114</v>
      </c>
      <c r="C128" s="47" t="s">
        <v>152</v>
      </c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33">
        <v>4</v>
      </c>
      <c r="T128" s="134">
        <v>4</v>
      </c>
      <c r="U128" s="134">
        <v>6</v>
      </c>
      <c r="V128" s="134">
        <v>3</v>
      </c>
      <c r="W128" s="134">
        <v>3</v>
      </c>
      <c r="X128" s="134">
        <v>20</v>
      </c>
      <c r="Y128" s="139">
        <v>17</v>
      </c>
      <c r="Z128" s="134">
        <v>3</v>
      </c>
      <c r="AA128" s="134">
        <v>2</v>
      </c>
      <c r="AB128" s="134">
        <v>1</v>
      </c>
      <c r="AC128" s="134">
        <v>2</v>
      </c>
      <c r="AD128" s="134">
        <v>1</v>
      </c>
      <c r="AE128" s="134">
        <v>0</v>
      </c>
      <c r="AF128" s="134">
        <v>9</v>
      </c>
      <c r="AG128" s="141">
        <v>5</v>
      </c>
      <c r="AH128" s="138">
        <v>51</v>
      </c>
      <c r="AI128" s="103"/>
      <c r="AJ128" s="103"/>
      <c r="AK128" s="103"/>
      <c r="AL128" s="103"/>
      <c r="AM128" s="103"/>
    </row>
    <row r="129" spans="2:39" ht="15.6" x14ac:dyDescent="0.3">
      <c r="B129" s="8">
        <v>115</v>
      </c>
      <c r="C129" s="47" t="s">
        <v>153</v>
      </c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33">
        <v>4</v>
      </c>
      <c r="T129" s="134">
        <v>4</v>
      </c>
      <c r="U129" s="134">
        <v>7</v>
      </c>
      <c r="V129" s="134">
        <v>3</v>
      </c>
      <c r="W129" s="134">
        <v>1</v>
      </c>
      <c r="X129" s="134">
        <v>19</v>
      </c>
      <c r="Y129" s="139">
        <v>12</v>
      </c>
      <c r="Z129" s="134">
        <v>3</v>
      </c>
      <c r="AA129" s="134">
        <v>3</v>
      </c>
      <c r="AB129" s="134">
        <v>0</v>
      </c>
      <c r="AC129" s="134">
        <v>4</v>
      </c>
      <c r="AD129" s="134">
        <v>0</v>
      </c>
      <c r="AE129" s="134">
        <v>0</v>
      </c>
      <c r="AF129" s="134">
        <v>10</v>
      </c>
      <c r="AG129" s="141">
        <v>5</v>
      </c>
      <c r="AH129" s="138">
        <v>46</v>
      </c>
      <c r="AI129" s="103"/>
      <c r="AJ129" s="103"/>
      <c r="AK129" s="103"/>
      <c r="AL129" s="103"/>
      <c r="AM129" s="103"/>
    </row>
    <row r="130" spans="2:39" ht="15.6" x14ac:dyDescent="0.3">
      <c r="B130" s="8">
        <v>116</v>
      </c>
      <c r="C130" s="47" t="s">
        <v>154</v>
      </c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33">
        <v>5</v>
      </c>
      <c r="T130" s="134">
        <v>4</v>
      </c>
      <c r="U130" s="134">
        <v>4</v>
      </c>
      <c r="V130" s="134">
        <v>1</v>
      </c>
      <c r="W130" s="134">
        <v>1</v>
      </c>
      <c r="X130" s="134">
        <v>15</v>
      </c>
      <c r="Y130" s="139">
        <v>8</v>
      </c>
      <c r="Z130" s="134">
        <v>2</v>
      </c>
      <c r="AA130" s="134">
        <v>1</v>
      </c>
      <c r="AB130" s="134">
        <v>1</v>
      </c>
      <c r="AC130" s="134">
        <v>3</v>
      </c>
      <c r="AD130" s="134">
        <v>0</v>
      </c>
      <c r="AE130" s="134">
        <v>2</v>
      </c>
      <c r="AF130" s="134">
        <v>9</v>
      </c>
      <c r="AG130" s="141">
        <v>5</v>
      </c>
      <c r="AH130" s="138">
        <v>37</v>
      </c>
      <c r="AI130" s="103"/>
      <c r="AJ130" s="103"/>
      <c r="AK130" s="103"/>
      <c r="AL130" s="103"/>
      <c r="AM130" s="103"/>
    </row>
    <row r="131" spans="2:39" ht="15.6" x14ac:dyDescent="0.3">
      <c r="B131" s="8">
        <v>117</v>
      </c>
      <c r="C131" s="47" t="s">
        <v>155</v>
      </c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31">
        <v>5</v>
      </c>
      <c r="T131" s="132">
        <v>4</v>
      </c>
      <c r="U131" s="132">
        <v>4</v>
      </c>
      <c r="V131" s="132">
        <v>3</v>
      </c>
      <c r="W131" s="132">
        <v>2</v>
      </c>
      <c r="X131" s="132">
        <v>18</v>
      </c>
      <c r="Y131" s="136">
        <v>17</v>
      </c>
      <c r="Z131" s="132">
        <v>3</v>
      </c>
      <c r="AA131" s="132">
        <v>2</v>
      </c>
      <c r="AB131" s="132">
        <v>1</v>
      </c>
      <c r="AC131" s="132">
        <v>2</v>
      </c>
      <c r="AD131" s="132">
        <v>0</v>
      </c>
      <c r="AE131" s="132">
        <v>0</v>
      </c>
      <c r="AF131" s="132">
        <v>8</v>
      </c>
      <c r="AG131" s="137">
        <v>5</v>
      </c>
      <c r="AH131" s="138">
        <v>48</v>
      </c>
      <c r="AI131" s="103"/>
      <c r="AJ131" s="103"/>
      <c r="AK131" s="103"/>
      <c r="AL131" s="103"/>
      <c r="AM131" s="103"/>
    </row>
    <row r="132" spans="2:39" ht="15.6" x14ac:dyDescent="0.3">
      <c r="B132" s="8">
        <v>118</v>
      </c>
      <c r="C132" s="47" t="s">
        <v>156</v>
      </c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33">
        <v>3</v>
      </c>
      <c r="T132" s="134">
        <v>4</v>
      </c>
      <c r="U132" s="134">
        <v>4</v>
      </c>
      <c r="V132" s="134">
        <v>2</v>
      </c>
      <c r="W132" s="134">
        <v>2</v>
      </c>
      <c r="X132" s="134">
        <v>15</v>
      </c>
      <c r="Y132" s="139">
        <v>17</v>
      </c>
      <c r="Z132" s="134">
        <v>3</v>
      </c>
      <c r="AA132" s="134">
        <v>3</v>
      </c>
      <c r="AB132" s="134">
        <v>1</v>
      </c>
      <c r="AC132" s="134">
        <v>2</v>
      </c>
      <c r="AD132" s="134">
        <v>0</v>
      </c>
      <c r="AE132" s="134">
        <v>0</v>
      </c>
      <c r="AF132" s="134">
        <v>9</v>
      </c>
      <c r="AG132" s="141">
        <v>5</v>
      </c>
      <c r="AH132" s="138">
        <v>46</v>
      </c>
      <c r="AI132" s="103"/>
      <c r="AJ132" s="103"/>
      <c r="AK132" s="103"/>
      <c r="AL132" s="103"/>
      <c r="AM132" s="103"/>
    </row>
    <row r="133" spans="2:39" ht="15.6" x14ac:dyDescent="0.3">
      <c r="B133" s="8">
        <v>119</v>
      </c>
      <c r="C133" s="47" t="s">
        <v>157</v>
      </c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33">
        <v>3</v>
      </c>
      <c r="T133" s="134">
        <v>3</v>
      </c>
      <c r="U133" s="134">
        <v>4</v>
      </c>
      <c r="V133" s="134">
        <v>2</v>
      </c>
      <c r="W133" s="134">
        <v>5</v>
      </c>
      <c r="X133" s="134">
        <v>17</v>
      </c>
      <c r="Y133" s="139">
        <v>18</v>
      </c>
      <c r="Z133" s="134">
        <v>3</v>
      </c>
      <c r="AA133" s="134">
        <v>2</v>
      </c>
      <c r="AB133" s="134">
        <v>0</v>
      </c>
      <c r="AC133" s="134">
        <v>3</v>
      </c>
      <c r="AD133" s="134">
        <v>0</v>
      </c>
      <c r="AE133" s="134">
        <v>0</v>
      </c>
      <c r="AF133" s="134">
        <v>8</v>
      </c>
      <c r="AG133" s="141">
        <v>0</v>
      </c>
      <c r="AH133" s="138">
        <v>43</v>
      </c>
      <c r="AI133" s="103"/>
      <c r="AJ133" s="103"/>
      <c r="AK133" s="103"/>
      <c r="AL133" s="103"/>
      <c r="AM133" s="103"/>
    </row>
    <row r="134" spans="2:39" ht="15.6" x14ac:dyDescent="0.3">
      <c r="B134" s="8">
        <v>120</v>
      </c>
      <c r="C134" s="47" t="s">
        <v>158</v>
      </c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42">
        <v>5</v>
      </c>
      <c r="T134" s="143">
        <v>4</v>
      </c>
      <c r="U134" s="143" t="s">
        <v>220</v>
      </c>
      <c r="V134" s="143">
        <v>3</v>
      </c>
      <c r="W134" s="143">
        <v>5</v>
      </c>
      <c r="X134" s="26">
        <v>17</v>
      </c>
      <c r="Y134" s="144">
        <v>8</v>
      </c>
      <c r="Z134" s="142">
        <v>3</v>
      </c>
      <c r="AA134" s="143">
        <v>2</v>
      </c>
      <c r="AB134" s="143">
        <v>0</v>
      </c>
      <c r="AC134" s="143">
        <v>3</v>
      </c>
      <c r="AD134" s="143">
        <v>0</v>
      </c>
      <c r="AE134" s="143">
        <v>0</v>
      </c>
      <c r="AF134" s="144">
        <v>8</v>
      </c>
      <c r="AG134" s="130">
        <v>5</v>
      </c>
      <c r="AH134" s="94">
        <v>38</v>
      </c>
      <c r="AI134" s="103"/>
      <c r="AJ134" s="103"/>
      <c r="AK134" s="103"/>
      <c r="AL134" s="103"/>
      <c r="AM134" s="103"/>
    </row>
    <row r="135" spans="2:39" ht="15.6" x14ac:dyDescent="0.3">
      <c r="B135" s="8">
        <v>121</v>
      </c>
      <c r="C135" s="47" t="s">
        <v>159</v>
      </c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42">
        <v>5</v>
      </c>
      <c r="T135" s="143">
        <v>6</v>
      </c>
      <c r="U135" s="143">
        <v>6</v>
      </c>
      <c r="V135" s="143">
        <v>4</v>
      </c>
      <c r="W135" s="143" t="s">
        <v>220</v>
      </c>
      <c r="X135" s="26">
        <v>21</v>
      </c>
      <c r="Y135" s="145">
        <v>17</v>
      </c>
      <c r="Z135" s="142">
        <v>3</v>
      </c>
      <c r="AA135" s="143">
        <v>2</v>
      </c>
      <c r="AB135" s="143">
        <v>0</v>
      </c>
      <c r="AC135" s="143">
        <v>3</v>
      </c>
      <c r="AD135" s="143" t="s">
        <v>220</v>
      </c>
      <c r="AE135" s="143" t="s">
        <v>220</v>
      </c>
      <c r="AF135" s="144">
        <v>8</v>
      </c>
      <c r="AG135" s="130">
        <v>5</v>
      </c>
      <c r="AH135" s="94">
        <v>51</v>
      </c>
    </row>
    <row r="136" spans="2:39" ht="15.6" x14ac:dyDescent="0.3">
      <c r="B136" s="8">
        <v>122</v>
      </c>
      <c r="C136" s="47" t="s">
        <v>160</v>
      </c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46">
        <v>5</v>
      </c>
      <c r="T136" s="147">
        <v>5</v>
      </c>
      <c r="U136" s="147">
        <v>4</v>
      </c>
      <c r="V136" s="147">
        <v>3</v>
      </c>
      <c r="W136" s="147">
        <v>1</v>
      </c>
      <c r="X136" s="26">
        <v>18</v>
      </c>
      <c r="Y136" s="148">
        <v>17</v>
      </c>
      <c r="Z136" s="146">
        <v>3</v>
      </c>
      <c r="AA136" s="147">
        <v>2</v>
      </c>
      <c r="AB136" s="147" t="s">
        <v>220</v>
      </c>
      <c r="AC136" s="147">
        <v>2</v>
      </c>
      <c r="AD136" s="147" t="s">
        <v>220</v>
      </c>
      <c r="AE136" s="147" t="s">
        <v>220</v>
      </c>
      <c r="AF136" s="145">
        <v>7</v>
      </c>
      <c r="AG136" s="130">
        <v>2</v>
      </c>
      <c r="AH136" s="94">
        <v>44</v>
      </c>
    </row>
    <row r="137" spans="2:39" ht="15.6" x14ac:dyDescent="0.3">
      <c r="B137" s="8">
        <v>123</v>
      </c>
      <c r="C137" s="47" t="s">
        <v>161</v>
      </c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46">
        <v>6</v>
      </c>
      <c r="T137" s="147">
        <v>5</v>
      </c>
      <c r="U137" s="147">
        <v>6</v>
      </c>
      <c r="V137" s="147">
        <v>3</v>
      </c>
      <c r="W137" s="147">
        <v>4</v>
      </c>
      <c r="X137" s="26">
        <v>24</v>
      </c>
      <c r="Y137" s="145">
        <v>15</v>
      </c>
      <c r="Z137" s="146">
        <v>4</v>
      </c>
      <c r="AA137" s="147">
        <v>3</v>
      </c>
      <c r="AB137" s="147">
        <v>0</v>
      </c>
      <c r="AC137" s="147">
        <v>4</v>
      </c>
      <c r="AD137" s="147">
        <v>1</v>
      </c>
      <c r="AE137" s="147">
        <v>0</v>
      </c>
      <c r="AF137" s="145">
        <v>12</v>
      </c>
      <c r="AG137" s="130">
        <v>5</v>
      </c>
      <c r="AH137" s="94">
        <v>56</v>
      </c>
    </row>
    <row r="138" spans="2:39" ht="15.6" x14ac:dyDescent="0.3">
      <c r="B138" s="8">
        <v>124</v>
      </c>
      <c r="C138" s="47" t="s">
        <v>162</v>
      </c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46">
        <v>3</v>
      </c>
      <c r="T138" s="147">
        <v>3</v>
      </c>
      <c r="U138" s="147">
        <v>7</v>
      </c>
      <c r="V138" s="147">
        <v>3</v>
      </c>
      <c r="W138" s="147">
        <v>4</v>
      </c>
      <c r="X138" s="26">
        <v>20</v>
      </c>
      <c r="Y138" s="145">
        <v>16</v>
      </c>
      <c r="Z138" s="146">
        <v>3</v>
      </c>
      <c r="AA138" s="147">
        <v>3</v>
      </c>
      <c r="AB138" s="147">
        <v>0</v>
      </c>
      <c r="AC138" s="147">
        <v>2</v>
      </c>
      <c r="AD138" s="147">
        <v>0</v>
      </c>
      <c r="AE138" s="147">
        <v>0</v>
      </c>
      <c r="AF138" s="145">
        <v>8</v>
      </c>
      <c r="AG138" s="130">
        <v>5</v>
      </c>
      <c r="AH138" s="94">
        <v>49</v>
      </c>
    </row>
    <row r="139" spans="2:39" ht="15.6" x14ac:dyDescent="0.3">
      <c r="B139" s="8">
        <v>125</v>
      </c>
      <c r="C139" s="47" t="s">
        <v>163</v>
      </c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46">
        <v>5</v>
      </c>
      <c r="T139" s="147">
        <v>4</v>
      </c>
      <c r="U139" s="147">
        <v>5</v>
      </c>
      <c r="V139" s="147">
        <v>3</v>
      </c>
      <c r="W139" s="147">
        <v>4</v>
      </c>
      <c r="X139" s="26">
        <v>21</v>
      </c>
      <c r="Y139" s="145">
        <v>17</v>
      </c>
      <c r="Z139" s="146">
        <v>3</v>
      </c>
      <c r="AA139" s="147">
        <v>2</v>
      </c>
      <c r="AB139" s="147">
        <v>0</v>
      </c>
      <c r="AC139" s="147">
        <v>0</v>
      </c>
      <c r="AD139" s="147" t="s">
        <v>220</v>
      </c>
      <c r="AE139" s="147" t="s">
        <v>220</v>
      </c>
      <c r="AF139" s="145">
        <v>5</v>
      </c>
      <c r="AG139" s="130">
        <v>5</v>
      </c>
      <c r="AH139" s="94">
        <v>48</v>
      </c>
    </row>
    <row r="140" spans="2:39" ht="15.6" x14ac:dyDescent="0.3">
      <c r="B140" s="8">
        <v>126</v>
      </c>
      <c r="C140" s="47" t="s">
        <v>164</v>
      </c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46">
        <v>4</v>
      </c>
      <c r="T140" s="147">
        <v>4</v>
      </c>
      <c r="U140" s="147">
        <v>5</v>
      </c>
      <c r="V140" s="147">
        <v>3</v>
      </c>
      <c r="W140" s="147">
        <v>4</v>
      </c>
      <c r="X140" s="26">
        <v>20</v>
      </c>
      <c r="Y140" s="145">
        <v>18</v>
      </c>
      <c r="Z140" s="146">
        <v>3</v>
      </c>
      <c r="AA140" s="147">
        <v>3</v>
      </c>
      <c r="AB140" s="147">
        <v>0</v>
      </c>
      <c r="AC140" s="147">
        <v>3</v>
      </c>
      <c r="AD140" s="147">
        <v>1</v>
      </c>
      <c r="AE140" s="147">
        <v>0</v>
      </c>
      <c r="AF140" s="145">
        <v>10</v>
      </c>
      <c r="AG140" s="130">
        <v>5</v>
      </c>
      <c r="AH140" s="94">
        <v>53</v>
      </c>
    </row>
    <row r="141" spans="2:39" ht="15.6" x14ac:dyDescent="0.3">
      <c r="B141" s="8">
        <v>127</v>
      </c>
      <c r="C141" s="47" t="s">
        <v>165</v>
      </c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46">
        <v>6</v>
      </c>
      <c r="T141" s="147">
        <v>5</v>
      </c>
      <c r="U141" s="147">
        <v>6</v>
      </c>
      <c r="V141" s="147">
        <v>3</v>
      </c>
      <c r="W141" s="147">
        <v>5</v>
      </c>
      <c r="X141" s="26">
        <v>25</v>
      </c>
      <c r="Y141" s="145">
        <v>15</v>
      </c>
      <c r="Z141" s="146">
        <v>4</v>
      </c>
      <c r="AA141" s="147">
        <v>4</v>
      </c>
      <c r="AB141" s="147">
        <v>0</v>
      </c>
      <c r="AC141" s="147">
        <v>3</v>
      </c>
      <c r="AD141" s="147">
        <v>0</v>
      </c>
      <c r="AE141" s="147">
        <v>2</v>
      </c>
      <c r="AF141" s="145">
        <v>13</v>
      </c>
      <c r="AG141" s="130">
        <v>5</v>
      </c>
      <c r="AH141" s="94">
        <v>58</v>
      </c>
    </row>
    <row r="142" spans="2:39" ht="15.6" x14ac:dyDescent="0.3">
      <c r="B142" s="8">
        <v>128</v>
      </c>
      <c r="C142" s="47" t="s">
        <v>166</v>
      </c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46">
        <v>6</v>
      </c>
      <c r="T142" s="147">
        <v>6</v>
      </c>
      <c r="U142" s="147">
        <v>7</v>
      </c>
      <c r="V142" s="147">
        <v>4</v>
      </c>
      <c r="W142" s="147">
        <v>6</v>
      </c>
      <c r="X142" s="26">
        <v>29</v>
      </c>
      <c r="Y142" s="145">
        <v>19</v>
      </c>
      <c r="Z142" s="146">
        <v>3</v>
      </c>
      <c r="AA142" s="147">
        <v>3</v>
      </c>
      <c r="AB142" s="147">
        <v>0</v>
      </c>
      <c r="AC142" s="147">
        <v>3</v>
      </c>
      <c r="AD142" s="147">
        <v>0</v>
      </c>
      <c r="AE142" s="147">
        <v>1</v>
      </c>
      <c r="AF142" s="145">
        <v>10</v>
      </c>
      <c r="AG142" s="130">
        <v>5</v>
      </c>
      <c r="AH142" s="94">
        <v>63</v>
      </c>
    </row>
    <row r="143" spans="2:39" ht="15.6" x14ac:dyDescent="0.3">
      <c r="B143" s="8">
        <v>129</v>
      </c>
      <c r="C143" s="47" t="s">
        <v>167</v>
      </c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46">
        <v>5</v>
      </c>
      <c r="T143" s="147">
        <v>5</v>
      </c>
      <c r="U143" s="147">
        <v>5</v>
      </c>
      <c r="V143" s="147">
        <v>3</v>
      </c>
      <c r="W143" s="147">
        <v>4</v>
      </c>
      <c r="X143" s="26">
        <v>22</v>
      </c>
      <c r="Y143" s="145">
        <v>15</v>
      </c>
      <c r="Z143" s="146">
        <v>3</v>
      </c>
      <c r="AA143" s="147">
        <v>2</v>
      </c>
      <c r="AB143" s="147">
        <v>0</v>
      </c>
      <c r="AC143" s="147">
        <v>3</v>
      </c>
      <c r="AD143" s="147">
        <v>0</v>
      </c>
      <c r="AE143" s="147">
        <v>0</v>
      </c>
      <c r="AF143" s="145">
        <v>8</v>
      </c>
      <c r="AG143" s="130">
        <v>5</v>
      </c>
      <c r="AH143" s="94">
        <v>50</v>
      </c>
    </row>
    <row r="144" spans="2:39" ht="15.6" x14ac:dyDescent="0.3">
      <c r="B144" s="8">
        <v>130</v>
      </c>
      <c r="C144" s="47" t="s">
        <v>168</v>
      </c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46">
        <v>5</v>
      </c>
      <c r="T144" s="147">
        <v>6</v>
      </c>
      <c r="U144" s="147">
        <v>5</v>
      </c>
      <c r="V144" s="147">
        <v>3</v>
      </c>
      <c r="W144" s="147">
        <v>6</v>
      </c>
      <c r="X144" s="26">
        <v>25</v>
      </c>
      <c r="Y144" s="145">
        <v>13</v>
      </c>
      <c r="Z144" s="146">
        <v>2</v>
      </c>
      <c r="AA144" s="147">
        <v>2</v>
      </c>
      <c r="AB144" s="147">
        <v>0</v>
      </c>
      <c r="AC144" s="147">
        <v>3</v>
      </c>
      <c r="AD144" s="147">
        <v>1</v>
      </c>
      <c r="AE144" s="147">
        <v>2</v>
      </c>
      <c r="AF144" s="145">
        <v>10</v>
      </c>
      <c r="AG144" s="130">
        <v>5</v>
      </c>
      <c r="AH144" s="94">
        <v>53</v>
      </c>
    </row>
    <row r="145" spans="2:34" ht="15.6" x14ac:dyDescent="0.3">
      <c r="B145" s="8">
        <v>131</v>
      </c>
      <c r="C145" s="47" t="s">
        <v>169</v>
      </c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46">
        <v>6</v>
      </c>
      <c r="T145" s="147">
        <v>6</v>
      </c>
      <c r="U145" s="147">
        <v>8</v>
      </c>
      <c r="V145" s="147">
        <v>3</v>
      </c>
      <c r="W145" s="147">
        <v>5</v>
      </c>
      <c r="X145" s="26">
        <v>28</v>
      </c>
      <c r="Y145" s="145">
        <v>18</v>
      </c>
      <c r="Z145" s="146">
        <v>4</v>
      </c>
      <c r="AA145" s="147">
        <v>4</v>
      </c>
      <c r="AB145" s="147">
        <v>0</v>
      </c>
      <c r="AC145" s="147">
        <v>4</v>
      </c>
      <c r="AD145" s="147">
        <v>1</v>
      </c>
      <c r="AE145" s="147">
        <v>2</v>
      </c>
      <c r="AF145" s="145">
        <v>15</v>
      </c>
      <c r="AG145" s="130">
        <v>5</v>
      </c>
      <c r="AH145" s="94">
        <v>66</v>
      </c>
    </row>
    <row r="146" spans="2:34" ht="15.6" x14ac:dyDescent="0.3">
      <c r="B146" s="8">
        <v>132</v>
      </c>
      <c r="C146" s="47" t="s">
        <v>170</v>
      </c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46">
        <v>5</v>
      </c>
      <c r="T146" s="147">
        <v>5</v>
      </c>
      <c r="U146" s="147">
        <v>6</v>
      </c>
      <c r="V146" s="147">
        <v>3</v>
      </c>
      <c r="W146" s="147">
        <v>5</v>
      </c>
      <c r="X146" s="26">
        <v>24</v>
      </c>
      <c r="Y146" s="145">
        <v>18</v>
      </c>
      <c r="Z146" s="146">
        <v>3</v>
      </c>
      <c r="AA146" s="147">
        <v>3</v>
      </c>
      <c r="AB146" s="147">
        <v>0</v>
      </c>
      <c r="AC146" s="147">
        <v>3</v>
      </c>
      <c r="AD146" s="147">
        <v>0</v>
      </c>
      <c r="AE146" s="147">
        <v>0</v>
      </c>
      <c r="AF146" s="145">
        <v>9</v>
      </c>
      <c r="AG146" s="130">
        <v>5</v>
      </c>
      <c r="AH146" s="94">
        <v>56</v>
      </c>
    </row>
    <row r="147" spans="2:34" ht="15.6" x14ac:dyDescent="0.3">
      <c r="B147" s="8">
        <v>133</v>
      </c>
      <c r="C147" s="47" t="s">
        <v>171</v>
      </c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46">
        <v>6</v>
      </c>
      <c r="T147" s="147">
        <v>6</v>
      </c>
      <c r="U147" s="147">
        <v>5</v>
      </c>
      <c r="V147" s="147">
        <v>3</v>
      </c>
      <c r="W147" s="147">
        <v>5</v>
      </c>
      <c r="X147" s="26">
        <v>25</v>
      </c>
      <c r="Y147" s="145">
        <v>13</v>
      </c>
      <c r="Z147" s="146">
        <v>4</v>
      </c>
      <c r="AA147" s="147">
        <v>4</v>
      </c>
      <c r="AB147" s="147">
        <v>0</v>
      </c>
      <c r="AC147" s="147">
        <v>3</v>
      </c>
      <c r="AD147" s="147">
        <v>0</v>
      </c>
      <c r="AE147" s="147">
        <v>0</v>
      </c>
      <c r="AF147" s="145">
        <v>11</v>
      </c>
      <c r="AG147" s="130">
        <v>4</v>
      </c>
      <c r="AH147" s="94">
        <v>53</v>
      </c>
    </row>
    <row r="148" spans="2:34" ht="15.6" x14ac:dyDescent="0.3">
      <c r="B148" s="8">
        <v>134</v>
      </c>
      <c r="C148" s="47" t="s">
        <v>172</v>
      </c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46">
        <v>4</v>
      </c>
      <c r="T148" s="147" t="s">
        <v>220</v>
      </c>
      <c r="U148" s="147">
        <v>4</v>
      </c>
      <c r="V148" s="147">
        <v>2</v>
      </c>
      <c r="W148" s="147">
        <v>2</v>
      </c>
      <c r="X148" s="26">
        <v>12</v>
      </c>
      <c r="Y148" s="145">
        <v>19</v>
      </c>
      <c r="Z148" s="146">
        <v>2</v>
      </c>
      <c r="AA148" s="147">
        <v>2</v>
      </c>
      <c r="AB148" s="147">
        <v>0</v>
      </c>
      <c r="AC148" s="147">
        <v>0</v>
      </c>
      <c r="AD148" s="147">
        <v>0</v>
      </c>
      <c r="AE148" s="147">
        <v>0</v>
      </c>
      <c r="AF148" s="145">
        <v>4</v>
      </c>
      <c r="AG148" s="130">
        <v>5</v>
      </c>
      <c r="AH148" s="94">
        <v>40</v>
      </c>
    </row>
    <row r="149" spans="2:34" ht="15.6" x14ac:dyDescent="0.3">
      <c r="B149" s="8">
        <v>135</v>
      </c>
      <c r="C149" s="47" t="s">
        <v>173</v>
      </c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46">
        <v>6</v>
      </c>
      <c r="T149" s="147">
        <v>6</v>
      </c>
      <c r="U149" s="147">
        <v>6</v>
      </c>
      <c r="V149" s="147">
        <v>3</v>
      </c>
      <c r="W149" s="147">
        <v>5</v>
      </c>
      <c r="X149" s="26">
        <v>26</v>
      </c>
      <c r="Y149" s="145">
        <v>17</v>
      </c>
      <c r="Z149" s="146">
        <v>3</v>
      </c>
      <c r="AA149" s="147">
        <v>3</v>
      </c>
      <c r="AB149" s="147">
        <v>4</v>
      </c>
      <c r="AC149" s="147">
        <v>4</v>
      </c>
      <c r="AD149" s="147">
        <v>2</v>
      </c>
      <c r="AE149" s="147">
        <v>2</v>
      </c>
      <c r="AF149" s="145">
        <v>18</v>
      </c>
      <c r="AG149" s="130">
        <v>5</v>
      </c>
      <c r="AH149" s="94">
        <v>66</v>
      </c>
    </row>
    <row r="150" spans="2:34" ht="15.6" x14ac:dyDescent="0.3">
      <c r="B150" s="8">
        <v>136</v>
      </c>
      <c r="C150" s="47" t="s">
        <v>174</v>
      </c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46">
        <v>5</v>
      </c>
      <c r="T150" s="147">
        <v>6</v>
      </c>
      <c r="U150" s="147">
        <v>6</v>
      </c>
      <c r="V150" s="147">
        <v>4</v>
      </c>
      <c r="W150" s="147">
        <v>6</v>
      </c>
      <c r="X150" s="26">
        <v>27</v>
      </c>
      <c r="Y150" s="145">
        <v>15</v>
      </c>
      <c r="Z150" s="146">
        <v>2</v>
      </c>
      <c r="AA150" s="147">
        <v>2</v>
      </c>
      <c r="AB150" s="147">
        <v>0</v>
      </c>
      <c r="AC150" s="147">
        <v>4</v>
      </c>
      <c r="AD150" s="147">
        <v>0</v>
      </c>
      <c r="AE150" s="147">
        <v>2</v>
      </c>
      <c r="AF150" s="145">
        <v>10</v>
      </c>
      <c r="AG150" s="130">
        <v>5</v>
      </c>
      <c r="AH150" s="94">
        <v>57</v>
      </c>
    </row>
    <row r="151" spans="2:34" ht="15.6" x14ac:dyDescent="0.3">
      <c r="B151" s="8">
        <v>137</v>
      </c>
      <c r="C151" s="47" t="s">
        <v>175</v>
      </c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46">
        <v>5</v>
      </c>
      <c r="T151" s="147">
        <v>5</v>
      </c>
      <c r="U151" s="147">
        <v>5</v>
      </c>
      <c r="V151" s="147">
        <v>3</v>
      </c>
      <c r="W151" s="147">
        <v>4</v>
      </c>
      <c r="X151" s="26">
        <v>22</v>
      </c>
      <c r="Y151" s="145">
        <v>16</v>
      </c>
      <c r="Z151" s="146">
        <v>3</v>
      </c>
      <c r="AA151" s="147">
        <v>3</v>
      </c>
      <c r="AB151" s="147">
        <v>0</v>
      </c>
      <c r="AC151" s="147">
        <v>2</v>
      </c>
      <c r="AD151" s="147">
        <v>0</v>
      </c>
      <c r="AE151" s="147">
        <v>0</v>
      </c>
      <c r="AF151" s="145">
        <v>8</v>
      </c>
      <c r="AG151" s="130">
        <v>5</v>
      </c>
      <c r="AH151" s="94">
        <v>51</v>
      </c>
    </row>
    <row r="152" spans="2:34" ht="15.6" x14ac:dyDescent="0.3">
      <c r="B152" s="8">
        <v>138</v>
      </c>
      <c r="C152" s="47" t="s">
        <v>176</v>
      </c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46">
        <v>5</v>
      </c>
      <c r="T152" s="147">
        <v>5</v>
      </c>
      <c r="U152" s="147">
        <v>5</v>
      </c>
      <c r="V152" s="147">
        <v>3</v>
      </c>
      <c r="W152" s="147">
        <v>2</v>
      </c>
      <c r="X152" s="26">
        <v>20</v>
      </c>
      <c r="Y152" s="145">
        <v>16</v>
      </c>
      <c r="Z152" s="146">
        <v>3</v>
      </c>
      <c r="AA152" s="147">
        <v>2</v>
      </c>
      <c r="AB152" s="147">
        <v>3</v>
      </c>
      <c r="AC152" s="147">
        <v>0</v>
      </c>
      <c r="AD152" s="147">
        <v>0</v>
      </c>
      <c r="AE152" s="147">
        <v>0</v>
      </c>
      <c r="AF152" s="145">
        <v>8</v>
      </c>
      <c r="AG152" s="130">
        <v>5</v>
      </c>
      <c r="AH152" s="94">
        <v>49</v>
      </c>
    </row>
    <row r="153" spans="2:34" ht="15.6" x14ac:dyDescent="0.3">
      <c r="B153" s="8">
        <v>139</v>
      </c>
      <c r="C153" s="47" t="s">
        <v>177</v>
      </c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46">
        <v>4</v>
      </c>
      <c r="T153" s="147">
        <v>5</v>
      </c>
      <c r="U153" s="147">
        <v>7</v>
      </c>
      <c r="V153" s="147">
        <v>3</v>
      </c>
      <c r="W153" s="147">
        <v>5</v>
      </c>
      <c r="X153" s="26">
        <v>24</v>
      </c>
      <c r="Y153" s="145">
        <v>18</v>
      </c>
      <c r="Z153" s="146">
        <v>3</v>
      </c>
      <c r="AA153" s="147">
        <v>3</v>
      </c>
      <c r="AB153" s="147">
        <v>0</v>
      </c>
      <c r="AC153" s="147">
        <v>4</v>
      </c>
      <c r="AD153" s="147">
        <v>0</v>
      </c>
      <c r="AE153" s="147">
        <v>2</v>
      </c>
      <c r="AF153" s="145">
        <v>12</v>
      </c>
      <c r="AG153" s="130">
        <v>5</v>
      </c>
      <c r="AH153" s="94">
        <v>59</v>
      </c>
    </row>
    <row r="154" spans="2:34" ht="15.6" x14ac:dyDescent="0.3">
      <c r="B154" s="8">
        <v>140</v>
      </c>
      <c r="C154" s="47" t="s">
        <v>178</v>
      </c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46">
        <v>5</v>
      </c>
      <c r="T154" s="147">
        <v>5</v>
      </c>
      <c r="U154" s="147">
        <v>5</v>
      </c>
      <c r="V154" s="147">
        <v>3</v>
      </c>
      <c r="W154" s="147">
        <v>2</v>
      </c>
      <c r="X154" s="26">
        <v>20</v>
      </c>
      <c r="Y154" s="145">
        <v>18</v>
      </c>
      <c r="Z154" s="146">
        <v>3</v>
      </c>
      <c r="AA154" s="147">
        <v>3</v>
      </c>
      <c r="AB154" s="147">
        <v>0</v>
      </c>
      <c r="AC154" s="147">
        <v>4</v>
      </c>
      <c r="AD154" s="147">
        <v>0</v>
      </c>
      <c r="AE154" s="147">
        <v>0</v>
      </c>
      <c r="AF154" s="145">
        <v>10</v>
      </c>
      <c r="AG154" s="130">
        <v>5</v>
      </c>
      <c r="AH154" s="94">
        <v>53</v>
      </c>
    </row>
    <row r="155" spans="2:34" ht="15.6" x14ac:dyDescent="0.3">
      <c r="B155" s="8">
        <v>141</v>
      </c>
      <c r="C155" s="47" t="s">
        <v>179</v>
      </c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46">
        <v>4</v>
      </c>
      <c r="T155" s="147">
        <v>4</v>
      </c>
      <c r="U155" s="147">
        <v>5</v>
      </c>
      <c r="V155" s="147">
        <v>2</v>
      </c>
      <c r="W155" s="147">
        <v>5</v>
      </c>
      <c r="X155" s="26">
        <v>20</v>
      </c>
      <c r="Y155" s="149">
        <v>18</v>
      </c>
      <c r="Z155" s="146">
        <v>3</v>
      </c>
      <c r="AA155" s="147">
        <v>3</v>
      </c>
      <c r="AB155" s="147">
        <v>0</v>
      </c>
      <c r="AC155" s="147">
        <v>4</v>
      </c>
      <c r="AD155" s="147">
        <v>0</v>
      </c>
      <c r="AE155" s="147">
        <v>2</v>
      </c>
      <c r="AF155" s="145">
        <v>12</v>
      </c>
      <c r="AG155" s="130">
        <v>5</v>
      </c>
      <c r="AH155" s="94">
        <v>55</v>
      </c>
    </row>
    <row r="156" spans="2:34" ht="15.6" x14ac:dyDescent="0.3">
      <c r="B156" s="8">
        <v>142</v>
      </c>
      <c r="C156" s="47" t="s">
        <v>180</v>
      </c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46">
        <v>4</v>
      </c>
      <c r="T156" s="147">
        <v>3</v>
      </c>
      <c r="U156" s="147">
        <v>3</v>
      </c>
      <c r="V156" s="147">
        <v>2</v>
      </c>
      <c r="W156" s="147">
        <v>2</v>
      </c>
      <c r="X156" s="26">
        <v>14</v>
      </c>
      <c r="Y156" s="150" t="s">
        <v>220</v>
      </c>
      <c r="Z156" s="147">
        <v>3</v>
      </c>
      <c r="AA156" s="147">
        <v>3</v>
      </c>
      <c r="AB156" s="147">
        <v>0</v>
      </c>
      <c r="AC156" s="147">
        <v>4</v>
      </c>
      <c r="AD156" s="147">
        <v>0</v>
      </c>
      <c r="AE156" s="147">
        <v>2</v>
      </c>
      <c r="AF156" s="145">
        <v>12</v>
      </c>
      <c r="AG156" s="130">
        <v>5</v>
      </c>
      <c r="AH156" s="94">
        <v>31</v>
      </c>
    </row>
    <row r="157" spans="2:34" ht="15.6" x14ac:dyDescent="0.3">
      <c r="B157" s="8">
        <v>143</v>
      </c>
      <c r="C157" s="47" t="s">
        <v>181</v>
      </c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46">
        <v>5</v>
      </c>
      <c r="T157" s="147">
        <v>5</v>
      </c>
      <c r="U157" s="147">
        <v>7</v>
      </c>
      <c r="V157" s="147">
        <v>3</v>
      </c>
      <c r="W157" s="147">
        <v>4</v>
      </c>
      <c r="X157" s="26">
        <v>24</v>
      </c>
      <c r="Y157" s="151">
        <v>16</v>
      </c>
      <c r="Z157" s="147">
        <v>3</v>
      </c>
      <c r="AA157" s="147">
        <v>3</v>
      </c>
      <c r="AB157" s="147">
        <v>0</v>
      </c>
      <c r="AC157" s="147">
        <v>4</v>
      </c>
      <c r="AD157" s="147">
        <v>0</v>
      </c>
      <c r="AE157" s="147">
        <v>2</v>
      </c>
      <c r="AF157" s="145">
        <v>12</v>
      </c>
      <c r="AG157" s="130">
        <v>5</v>
      </c>
      <c r="AH157" s="94">
        <v>57</v>
      </c>
    </row>
    <row r="158" spans="2:34" ht="15.6" x14ac:dyDescent="0.3">
      <c r="B158" s="8">
        <v>144</v>
      </c>
      <c r="C158" s="47" t="s">
        <v>182</v>
      </c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46">
        <v>5</v>
      </c>
      <c r="T158" s="147">
        <v>5</v>
      </c>
      <c r="U158" s="147">
        <v>5</v>
      </c>
      <c r="V158" s="147">
        <v>3</v>
      </c>
      <c r="W158" s="147">
        <v>3</v>
      </c>
      <c r="X158" s="26">
        <v>21</v>
      </c>
      <c r="Y158" s="145">
        <v>18</v>
      </c>
      <c r="Z158" s="146">
        <v>3</v>
      </c>
      <c r="AA158" s="147">
        <v>3</v>
      </c>
      <c r="AB158" s="147">
        <v>0</v>
      </c>
      <c r="AC158" s="147">
        <v>2</v>
      </c>
      <c r="AD158" s="147" t="s">
        <v>220</v>
      </c>
      <c r="AE158" s="147" t="s">
        <v>220</v>
      </c>
      <c r="AF158" s="145">
        <v>8</v>
      </c>
      <c r="AG158" s="130">
        <v>5</v>
      </c>
      <c r="AH158" s="94">
        <v>52</v>
      </c>
    </row>
    <row r="159" spans="2:34" ht="15.6" x14ac:dyDescent="0.3">
      <c r="B159" s="8">
        <v>145</v>
      </c>
      <c r="C159" s="47" t="s">
        <v>183</v>
      </c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46">
        <v>5</v>
      </c>
      <c r="T159" s="147">
        <v>5</v>
      </c>
      <c r="U159" s="147">
        <v>6</v>
      </c>
      <c r="V159" s="147">
        <v>3</v>
      </c>
      <c r="W159" s="147">
        <v>4</v>
      </c>
      <c r="X159" s="26">
        <v>23</v>
      </c>
      <c r="Y159" s="145">
        <v>19</v>
      </c>
      <c r="Z159" s="146">
        <v>3</v>
      </c>
      <c r="AA159" s="147">
        <v>3</v>
      </c>
      <c r="AB159" s="147">
        <v>0</v>
      </c>
      <c r="AC159" s="147">
        <v>3</v>
      </c>
      <c r="AD159" s="147">
        <v>0</v>
      </c>
      <c r="AE159" s="147">
        <v>2</v>
      </c>
      <c r="AF159" s="145">
        <v>11</v>
      </c>
      <c r="AG159" s="130">
        <v>5</v>
      </c>
      <c r="AH159" s="94">
        <v>58</v>
      </c>
    </row>
    <row r="160" spans="2:34" ht="15.6" x14ac:dyDescent="0.3">
      <c r="B160" s="8">
        <v>146</v>
      </c>
      <c r="C160" s="47" t="s">
        <v>184</v>
      </c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46">
        <v>6</v>
      </c>
      <c r="T160" s="147">
        <v>6</v>
      </c>
      <c r="U160" s="147">
        <v>6</v>
      </c>
      <c r="V160" s="147">
        <v>3</v>
      </c>
      <c r="W160" s="147">
        <v>5</v>
      </c>
      <c r="X160" s="26">
        <v>26</v>
      </c>
      <c r="Y160" s="145">
        <v>13</v>
      </c>
      <c r="Z160" s="146">
        <v>3</v>
      </c>
      <c r="AA160" s="147">
        <v>3</v>
      </c>
      <c r="AB160" s="147">
        <v>0</v>
      </c>
      <c r="AC160" s="147">
        <v>3</v>
      </c>
      <c r="AD160" s="147">
        <v>0</v>
      </c>
      <c r="AE160" s="147">
        <v>0</v>
      </c>
      <c r="AF160" s="145">
        <v>9</v>
      </c>
      <c r="AG160" s="130">
        <v>5</v>
      </c>
      <c r="AH160" s="94">
        <v>53</v>
      </c>
    </row>
    <row r="161" spans="2:34" ht="15.6" x14ac:dyDescent="0.3">
      <c r="B161" s="8">
        <v>147</v>
      </c>
      <c r="C161" s="47" t="s">
        <v>185</v>
      </c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46">
        <v>5</v>
      </c>
      <c r="T161" s="147">
        <v>5</v>
      </c>
      <c r="U161" s="147">
        <v>5</v>
      </c>
      <c r="V161" s="147">
        <v>3</v>
      </c>
      <c r="W161" s="147">
        <v>4</v>
      </c>
      <c r="X161" s="26">
        <v>22</v>
      </c>
      <c r="Y161" s="145">
        <v>19</v>
      </c>
      <c r="Z161" s="146">
        <v>4</v>
      </c>
      <c r="AA161" s="147">
        <v>3</v>
      </c>
      <c r="AB161" s="147">
        <v>0</v>
      </c>
      <c r="AC161" s="147">
        <v>3</v>
      </c>
      <c r="AD161" s="147">
        <v>1</v>
      </c>
      <c r="AE161" s="147">
        <v>0</v>
      </c>
      <c r="AF161" s="145">
        <v>11</v>
      </c>
      <c r="AG161" s="130">
        <v>2</v>
      </c>
      <c r="AH161" s="94">
        <v>54</v>
      </c>
    </row>
    <row r="162" spans="2:34" ht="15.6" x14ac:dyDescent="0.3">
      <c r="B162" s="8">
        <v>148</v>
      </c>
      <c r="C162" s="47" t="s">
        <v>186</v>
      </c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46">
        <v>5</v>
      </c>
      <c r="T162" s="147">
        <v>5</v>
      </c>
      <c r="U162" s="147">
        <v>7</v>
      </c>
      <c r="V162" s="147">
        <v>3</v>
      </c>
      <c r="W162" s="147">
        <v>5</v>
      </c>
      <c r="X162" s="26">
        <v>25</v>
      </c>
      <c r="Y162" s="145">
        <v>17</v>
      </c>
      <c r="Z162" s="146">
        <v>4</v>
      </c>
      <c r="AA162" s="147">
        <v>3</v>
      </c>
      <c r="AB162" s="147">
        <v>0</v>
      </c>
      <c r="AC162" s="147">
        <v>3</v>
      </c>
      <c r="AD162" s="147">
        <v>0</v>
      </c>
      <c r="AE162" s="147">
        <v>0</v>
      </c>
      <c r="AF162" s="145">
        <v>10</v>
      </c>
      <c r="AG162" s="130">
        <v>5</v>
      </c>
      <c r="AH162" s="94">
        <v>57</v>
      </c>
    </row>
    <row r="163" spans="2:34" ht="15.6" x14ac:dyDescent="0.3">
      <c r="B163" s="8">
        <v>149</v>
      </c>
      <c r="C163" s="47" t="s">
        <v>187</v>
      </c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46">
        <v>5</v>
      </c>
      <c r="T163" s="147">
        <v>5</v>
      </c>
      <c r="U163" s="147">
        <v>4</v>
      </c>
      <c r="V163" s="147" t="s">
        <v>220</v>
      </c>
      <c r="W163" s="147">
        <v>4</v>
      </c>
      <c r="X163" s="26">
        <v>18</v>
      </c>
      <c r="Y163" s="145">
        <v>20</v>
      </c>
      <c r="Z163" s="146">
        <v>3</v>
      </c>
      <c r="AA163" s="147">
        <v>3</v>
      </c>
      <c r="AB163" s="147">
        <v>0</v>
      </c>
      <c r="AC163" s="147">
        <v>3</v>
      </c>
      <c r="AD163" s="147" t="s">
        <v>220</v>
      </c>
      <c r="AE163" s="147" t="s">
        <v>220</v>
      </c>
      <c r="AF163" s="145">
        <v>9</v>
      </c>
      <c r="AG163" s="130">
        <v>5</v>
      </c>
      <c r="AH163" s="94">
        <v>52</v>
      </c>
    </row>
    <row r="164" spans="2:34" ht="15.6" x14ac:dyDescent="0.3">
      <c r="B164" s="8">
        <v>150</v>
      </c>
      <c r="C164" s="47" t="s">
        <v>188</v>
      </c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46">
        <v>6</v>
      </c>
      <c r="T164" s="147">
        <v>6</v>
      </c>
      <c r="U164" s="147">
        <v>7</v>
      </c>
      <c r="V164" s="147">
        <v>4</v>
      </c>
      <c r="W164" s="147">
        <v>6</v>
      </c>
      <c r="X164" s="26">
        <v>29</v>
      </c>
      <c r="Y164" s="145">
        <v>16</v>
      </c>
      <c r="Z164" s="146">
        <v>3</v>
      </c>
      <c r="AA164" s="147">
        <v>3</v>
      </c>
      <c r="AB164" s="147">
        <v>0</v>
      </c>
      <c r="AC164" s="147">
        <v>3</v>
      </c>
      <c r="AD164" s="147">
        <v>0</v>
      </c>
      <c r="AE164" s="147">
        <v>2</v>
      </c>
      <c r="AF164" s="145">
        <v>11</v>
      </c>
      <c r="AG164" s="130">
        <v>5</v>
      </c>
      <c r="AH164" s="94">
        <v>61</v>
      </c>
    </row>
    <row r="165" spans="2:34" ht="15.6" x14ac:dyDescent="0.3">
      <c r="B165" s="8">
        <v>151</v>
      </c>
      <c r="C165" s="47" t="s">
        <v>189</v>
      </c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46">
        <v>5</v>
      </c>
      <c r="T165" s="147">
        <v>5</v>
      </c>
      <c r="U165" s="147" t="s">
        <v>220</v>
      </c>
      <c r="V165" s="147">
        <v>3</v>
      </c>
      <c r="W165" s="147">
        <v>3</v>
      </c>
      <c r="X165" s="26">
        <v>16</v>
      </c>
      <c r="Y165" s="145">
        <v>19</v>
      </c>
      <c r="Z165" s="146">
        <v>3</v>
      </c>
      <c r="AA165" s="147">
        <v>3</v>
      </c>
      <c r="AB165" s="147">
        <v>0</v>
      </c>
      <c r="AC165" s="147">
        <v>3</v>
      </c>
      <c r="AD165" s="147">
        <v>0</v>
      </c>
      <c r="AE165" s="147">
        <v>2</v>
      </c>
      <c r="AF165" s="145">
        <v>11</v>
      </c>
      <c r="AG165" s="130">
        <v>5</v>
      </c>
      <c r="AH165" s="94">
        <v>51</v>
      </c>
    </row>
    <row r="166" spans="2:34" ht="15.6" x14ac:dyDescent="0.3">
      <c r="B166" s="8">
        <v>152</v>
      </c>
      <c r="C166" s="47" t="s">
        <v>190</v>
      </c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46">
        <v>5</v>
      </c>
      <c r="T166" s="147">
        <v>4</v>
      </c>
      <c r="U166" s="147">
        <v>0</v>
      </c>
      <c r="V166" s="147">
        <v>3</v>
      </c>
      <c r="W166" s="147">
        <v>3</v>
      </c>
      <c r="X166" s="26">
        <v>15</v>
      </c>
      <c r="Y166" s="145">
        <v>17</v>
      </c>
      <c r="Z166" s="146">
        <v>3</v>
      </c>
      <c r="AA166" s="147">
        <v>3</v>
      </c>
      <c r="AB166" s="147">
        <v>0</v>
      </c>
      <c r="AC166" s="147">
        <v>4</v>
      </c>
      <c r="AD166" s="147">
        <v>0</v>
      </c>
      <c r="AE166" s="147">
        <v>0</v>
      </c>
      <c r="AF166" s="145">
        <v>10</v>
      </c>
      <c r="AG166" s="130">
        <v>5</v>
      </c>
      <c r="AH166" s="94">
        <v>47</v>
      </c>
    </row>
    <row r="167" spans="2:34" ht="15.6" x14ac:dyDescent="0.3">
      <c r="B167" s="8">
        <v>153</v>
      </c>
      <c r="C167" s="47" t="s">
        <v>191</v>
      </c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46">
        <v>4</v>
      </c>
      <c r="T167" s="147">
        <v>5</v>
      </c>
      <c r="U167" s="147">
        <v>6</v>
      </c>
      <c r="V167" s="147">
        <v>2</v>
      </c>
      <c r="W167" s="147">
        <v>3</v>
      </c>
      <c r="X167" s="26">
        <v>20</v>
      </c>
      <c r="Y167" s="145">
        <v>17</v>
      </c>
      <c r="Z167" s="146">
        <v>3</v>
      </c>
      <c r="AA167" s="147">
        <v>3</v>
      </c>
      <c r="AB167" s="147">
        <v>4</v>
      </c>
      <c r="AC167" s="147">
        <v>2</v>
      </c>
      <c r="AD167" s="147">
        <v>0</v>
      </c>
      <c r="AE167" s="147">
        <v>0</v>
      </c>
      <c r="AF167" s="145">
        <v>12</v>
      </c>
      <c r="AG167" s="130">
        <v>5</v>
      </c>
      <c r="AH167" s="94">
        <v>54</v>
      </c>
    </row>
    <row r="168" spans="2:34" ht="15.6" x14ac:dyDescent="0.3">
      <c r="B168" s="8">
        <v>154</v>
      </c>
      <c r="C168" s="47" t="s">
        <v>192</v>
      </c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46">
        <v>4</v>
      </c>
      <c r="T168" s="147">
        <v>5</v>
      </c>
      <c r="U168" s="147">
        <v>7</v>
      </c>
      <c r="V168" s="147">
        <v>3</v>
      </c>
      <c r="W168" s="147">
        <v>5</v>
      </c>
      <c r="X168" s="26">
        <v>24</v>
      </c>
      <c r="Y168" s="145">
        <v>18</v>
      </c>
      <c r="Z168" s="146">
        <v>3</v>
      </c>
      <c r="AA168" s="147">
        <v>3</v>
      </c>
      <c r="AB168" s="147">
        <v>4</v>
      </c>
      <c r="AC168" s="147">
        <v>4</v>
      </c>
      <c r="AD168" s="147">
        <v>0</v>
      </c>
      <c r="AE168" s="147">
        <v>0</v>
      </c>
      <c r="AF168" s="145">
        <v>14</v>
      </c>
      <c r="AG168" s="130">
        <v>5</v>
      </c>
      <c r="AH168" s="94">
        <v>61</v>
      </c>
    </row>
    <row r="169" spans="2:34" ht="15.6" x14ac:dyDescent="0.3">
      <c r="B169" s="8">
        <v>155</v>
      </c>
      <c r="C169" s="47" t="s">
        <v>193</v>
      </c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46">
        <v>5</v>
      </c>
      <c r="T169" s="147">
        <v>6</v>
      </c>
      <c r="U169" s="147">
        <v>6</v>
      </c>
      <c r="V169" s="147">
        <v>4</v>
      </c>
      <c r="W169" s="147">
        <v>4</v>
      </c>
      <c r="X169" s="26">
        <v>25</v>
      </c>
      <c r="Y169" s="145">
        <v>18</v>
      </c>
      <c r="Z169" s="146">
        <v>3</v>
      </c>
      <c r="AA169" s="147">
        <v>3</v>
      </c>
      <c r="AB169" s="147">
        <v>4</v>
      </c>
      <c r="AC169" s="147">
        <v>4</v>
      </c>
      <c r="AD169" s="147">
        <v>0</v>
      </c>
      <c r="AE169" s="147">
        <v>2</v>
      </c>
      <c r="AF169" s="145">
        <v>16</v>
      </c>
      <c r="AG169" s="130">
        <v>5</v>
      </c>
      <c r="AH169" s="94">
        <v>64</v>
      </c>
    </row>
    <row r="170" spans="2:34" ht="15.6" x14ac:dyDescent="0.3">
      <c r="B170" s="8">
        <v>156</v>
      </c>
      <c r="C170" s="47" t="s">
        <v>194</v>
      </c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46">
        <v>5</v>
      </c>
      <c r="T170" s="147">
        <v>5</v>
      </c>
      <c r="U170" s="147">
        <v>4</v>
      </c>
      <c r="V170" s="147">
        <v>2</v>
      </c>
      <c r="W170" s="147">
        <v>5</v>
      </c>
      <c r="X170" s="26">
        <v>21</v>
      </c>
      <c r="Y170" s="145">
        <v>18</v>
      </c>
      <c r="Z170" s="146">
        <v>3</v>
      </c>
      <c r="AA170" s="147">
        <v>4</v>
      </c>
      <c r="AB170" s="147">
        <v>4</v>
      </c>
      <c r="AC170" s="147">
        <v>4</v>
      </c>
      <c r="AD170" s="147">
        <v>1</v>
      </c>
      <c r="AE170" s="147">
        <v>2</v>
      </c>
      <c r="AF170" s="145">
        <v>18</v>
      </c>
      <c r="AG170" s="130">
        <v>5</v>
      </c>
      <c r="AH170" s="94">
        <v>62</v>
      </c>
    </row>
    <row r="171" spans="2:34" ht="15.6" x14ac:dyDescent="0.3">
      <c r="B171" s="8">
        <v>157</v>
      </c>
      <c r="C171" s="47" t="s">
        <v>195</v>
      </c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46">
        <v>5</v>
      </c>
      <c r="T171" s="147">
        <v>3</v>
      </c>
      <c r="U171" s="147">
        <v>6</v>
      </c>
      <c r="V171" s="147">
        <v>3</v>
      </c>
      <c r="W171" s="147">
        <v>3</v>
      </c>
      <c r="X171" s="26">
        <v>20</v>
      </c>
      <c r="Y171" s="145">
        <v>18</v>
      </c>
      <c r="Z171" s="146">
        <v>3</v>
      </c>
      <c r="AA171" s="147">
        <v>3</v>
      </c>
      <c r="AB171" s="147">
        <v>4</v>
      </c>
      <c r="AC171" s="147">
        <v>3</v>
      </c>
      <c r="AD171" s="147">
        <v>0</v>
      </c>
      <c r="AE171" s="147">
        <v>0</v>
      </c>
      <c r="AF171" s="145">
        <v>13</v>
      </c>
      <c r="AG171" s="130">
        <v>5</v>
      </c>
      <c r="AH171" s="94">
        <v>56</v>
      </c>
    </row>
    <row r="172" spans="2:34" ht="15.6" x14ac:dyDescent="0.3">
      <c r="B172" s="8">
        <v>158</v>
      </c>
      <c r="C172" s="47" t="s">
        <v>196</v>
      </c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46">
        <v>6</v>
      </c>
      <c r="T172" s="147">
        <v>6</v>
      </c>
      <c r="U172" s="147">
        <v>4</v>
      </c>
      <c r="V172" s="147">
        <v>3</v>
      </c>
      <c r="W172" s="147">
        <v>4</v>
      </c>
      <c r="X172" s="26">
        <v>23</v>
      </c>
      <c r="Y172" s="145">
        <v>18</v>
      </c>
      <c r="Z172" s="146">
        <v>3</v>
      </c>
      <c r="AA172" s="147">
        <v>3</v>
      </c>
      <c r="AB172" s="147">
        <v>4</v>
      </c>
      <c r="AC172" s="147">
        <v>4</v>
      </c>
      <c r="AD172" s="147">
        <v>0</v>
      </c>
      <c r="AE172" s="147">
        <v>0</v>
      </c>
      <c r="AF172" s="145">
        <v>14</v>
      </c>
      <c r="AG172" s="130">
        <v>2</v>
      </c>
      <c r="AH172" s="94">
        <v>57</v>
      </c>
    </row>
    <row r="173" spans="2:34" ht="15.6" x14ac:dyDescent="0.3">
      <c r="B173" s="8">
        <v>159</v>
      </c>
      <c r="C173" s="47" t="s">
        <v>197</v>
      </c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46">
        <v>6</v>
      </c>
      <c r="T173" s="147">
        <v>6</v>
      </c>
      <c r="U173" s="147">
        <v>6</v>
      </c>
      <c r="V173" s="147">
        <v>2</v>
      </c>
      <c r="W173" s="147">
        <v>3</v>
      </c>
      <c r="X173" s="26">
        <v>23</v>
      </c>
      <c r="Y173" s="145">
        <v>17</v>
      </c>
      <c r="Z173" s="146">
        <v>3</v>
      </c>
      <c r="AA173" s="147">
        <v>3</v>
      </c>
      <c r="AB173" s="147">
        <v>4</v>
      </c>
      <c r="AC173" s="147">
        <v>4</v>
      </c>
      <c r="AD173" s="147">
        <v>0</v>
      </c>
      <c r="AE173" s="147">
        <v>0</v>
      </c>
      <c r="AF173" s="145">
        <v>14</v>
      </c>
      <c r="AG173" s="130">
        <v>5</v>
      </c>
      <c r="AH173" s="94">
        <v>59</v>
      </c>
    </row>
    <row r="174" spans="2:34" ht="15.6" x14ac:dyDescent="0.3">
      <c r="B174" s="8">
        <v>160</v>
      </c>
      <c r="C174" s="47" t="s">
        <v>198</v>
      </c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46">
        <v>5</v>
      </c>
      <c r="T174" s="147">
        <v>5</v>
      </c>
      <c r="U174" s="147">
        <v>6</v>
      </c>
      <c r="V174" s="147">
        <v>3</v>
      </c>
      <c r="W174" s="147">
        <v>5</v>
      </c>
      <c r="X174" s="26">
        <v>24</v>
      </c>
      <c r="Y174" s="145">
        <v>12</v>
      </c>
      <c r="Z174" s="146">
        <v>3</v>
      </c>
      <c r="AA174" s="147">
        <v>3</v>
      </c>
      <c r="AB174" s="147">
        <v>4</v>
      </c>
      <c r="AC174" s="147">
        <v>3</v>
      </c>
      <c r="AD174" s="147">
        <v>0</v>
      </c>
      <c r="AE174" s="147">
        <v>0</v>
      </c>
      <c r="AF174" s="145">
        <v>13</v>
      </c>
      <c r="AG174" s="130">
        <v>5</v>
      </c>
      <c r="AH174" s="94">
        <v>54</v>
      </c>
    </row>
    <row r="175" spans="2:34" ht="15.6" x14ac:dyDescent="0.3">
      <c r="B175" s="8">
        <v>161</v>
      </c>
      <c r="C175" s="47" t="s">
        <v>199</v>
      </c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46">
        <v>6</v>
      </c>
      <c r="T175" s="147">
        <v>5</v>
      </c>
      <c r="U175" s="147">
        <v>7</v>
      </c>
      <c r="V175" s="147">
        <v>2</v>
      </c>
      <c r="W175" s="147">
        <v>5</v>
      </c>
      <c r="X175" s="26">
        <v>25</v>
      </c>
      <c r="Y175" s="145">
        <v>16</v>
      </c>
      <c r="Z175" s="146">
        <v>3</v>
      </c>
      <c r="AA175" s="147">
        <v>3</v>
      </c>
      <c r="AB175" s="147">
        <v>4</v>
      </c>
      <c r="AC175" s="147">
        <v>4</v>
      </c>
      <c r="AD175" s="147">
        <v>0</v>
      </c>
      <c r="AE175" s="147">
        <v>0</v>
      </c>
      <c r="AF175" s="145">
        <v>14</v>
      </c>
      <c r="AG175" s="130">
        <v>5</v>
      </c>
      <c r="AH175" s="94">
        <v>60</v>
      </c>
    </row>
    <row r="176" spans="2:34" ht="15.6" x14ac:dyDescent="0.3">
      <c r="B176" s="8">
        <v>162</v>
      </c>
      <c r="C176" s="47" t="s">
        <v>200</v>
      </c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46">
        <v>6</v>
      </c>
      <c r="T176" s="147">
        <v>5</v>
      </c>
      <c r="U176" s="147">
        <v>7</v>
      </c>
      <c r="V176" s="147">
        <v>1</v>
      </c>
      <c r="W176" s="147">
        <v>3</v>
      </c>
      <c r="X176" s="26">
        <v>22</v>
      </c>
      <c r="Y176" s="145">
        <v>18</v>
      </c>
      <c r="Z176" s="146">
        <v>4</v>
      </c>
      <c r="AA176" s="147">
        <v>4</v>
      </c>
      <c r="AB176" s="147">
        <v>4</v>
      </c>
      <c r="AC176" s="147">
        <v>4</v>
      </c>
      <c r="AD176" s="147">
        <v>0</v>
      </c>
      <c r="AE176" s="147">
        <v>0</v>
      </c>
      <c r="AF176" s="145">
        <v>16</v>
      </c>
      <c r="AG176" s="130">
        <v>5</v>
      </c>
      <c r="AH176" s="94">
        <v>61</v>
      </c>
    </row>
    <row r="177" spans="2:34" ht="15.6" x14ac:dyDescent="0.3">
      <c r="B177" s="8">
        <v>163</v>
      </c>
      <c r="C177" s="47" t="s">
        <v>201</v>
      </c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46">
        <v>5</v>
      </c>
      <c r="T177" s="147">
        <v>6</v>
      </c>
      <c r="U177" s="147">
        <v>7</v>
      </c>
      <c r="V177" s="147">
        <v>2</v>
      </c>
      <c r="W177" s="147">
        <v>5</v>
      </c>
      <c r="X177" s="26">
        <v>25</v>
      </c>
      <c r="Y177" s="145">
        <v>18</v>
      </c>
      <c r="Z177" s="146">
        <v>3</v>
      </c>
      <c r="AA177" s="147">
        <v>3</v>
      </c>
      <c r="AB177" s="147">
        <v>0</v>
      </c>
      <c r="AC177" s="147">
        <v>4</v>
      </c>
      <c r="AD177" s="147">
        <v>0</v>
      </c>
      <c r="AE177" s="147">
        <v>2</v>
      </c>
      <c r="AF177" s="145">
        <v>12</v>
      </c>
      <c r="AG177" s="130">
        <v>5</v>
      </c>
      <c r="AH177" s="94">
        <v>60</v>
      </c>
    </row>
    <row r="178" spans="2:34" ht="15.6" x14ac:dyDescent="0.3">
      <c r="B178" s="8">
        <v>164</v>
      </c>
      <c r="C178" s="47" t="s">
        <v>202</v>
      </c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46">
        <v>5</v>
      </c>
      <c r="T178" s="147">
        <v>5</v>
      </c>
      <c r="U178" s="147">
        <v>7</v>
      </c>
      <c r="V178" s="147">
        <v>3</v>
      </c>
      <c r="W178" s="147">
        <v>5</v>
      </c>
      <c r="X178" s="26">
        <v>25</v>
      </c>
      <c r="Y178" s="145">
        <v>12</v>
      </c>
      <c r="Z178" s="146">
        <v>3</v>
      </c>
      <c r="AA178" s="147">
        <v>3</v>
      </c>
      <c r="AB178" s="147">
        <v>0</v>
      </c>
      <c r="AC178" s="147">
        <v>3</v>
      </c>
      <c r="AD178" s="147">
        <v>0</v>
      </c>
      <c r="AE178" s="147">
        <v>0</v>
      </c>
      <c r="AF178" s="145">
        <v>9</v>
      </c>
      <c r="AG178" s="130">
        <v>5</v>
      </c>
      <c r="AH178" s="94">
        <v>51</v>
      </c>
    </row>
    <row r="179" spans="2:34" ht="15.6" x14ac:dyDescent="0.3">
      <c r="B179" s="8">
        <v>165</v>
      </c>
      <c r="C179" s="47" t="s">
        <v>203</v>
      </c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46">
        <v>5</v>
      </c>
      <c r="T179" s="147">
        <v>5</v>
      </c>
      <c r="U179" s="147">
        <v>6</v>
      </c>
      <c r="V179" s="147">
        <v>2</v>
      </c>
      <c r="W179" s="147">
        <v>6</v>
      </c>
      <c r="X179" s="26">
        <v>24</v>
      </c>
      <c r="Y179" s="145">
        <v>14</v>
      </c>
      <c r="Z179" s="146">
        <v>3</v>
      </c>
      <c r="AA179" s="147">
        <v>3</v>
      </c>
      <c r="AB179" s="147">
        <v>0</v>
      </c>
      <c r="AC179" s="147">
        <v>3</v>
      </c>
      <c r="AD179" s="147">
        <v>0</v>
      </c>
      <c r="AE179" s="147">
        <v>0</v>
      </c>
      <c r="AF179" s="145">
        <v>9</v>
      </c>
      <c r="AG179" s="130">
        <v>5</v>
      </c>
      <c r="AH179" s="94">
        <v>52</v>
      </c>
    </row>
    <row r="180" spans="2:34" ht="15.6" x14ac:dyDescent="0.3">
      <c r="B180" s="8">
        <v>166</v>
      </c>
      <c r="C180" s="47" t="s">
        <v>204</v>
      </c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46">
        <v>5</v>
      </c>
      <c r="T180" s="147">
        <v>5</v>
      </c>
      <c r="U180" s="147">
        <v>7</v>
      </c>
      <c r="V180" s="147">
        <v>3</v>
      </c>
      <c r="W180" s="147">
        <v>4</v>
      </c>
      <c r="X180" s="26">
        <v>24</v>
      </c>
      <c r="Y180" s="145">
        <v>18</v>
      </c>
      <c r="Z180" s="146">
        <v>3</v>
      </c>
      <c r="AA180" s="147">
        <v>3</v>
      </c>
      <c r="AB180" s="147">
        <v>0</v>
      </c>
      <c r="AC180" s="147">
        <v>4</v>
      </c>
      <c r="AD180" s="147">
        <v>0</v>
      </c>
      <c r="AE180" s="147">
        <v>0</v>
      </c>
      <c r="AF180" s="145">
        <v>10</v>
      </c>
      <c r="AG180" s="130">
        <v>5</v>
      </c>
      <c r="AH180" s="94">
        <v>57</v>
      </c>
    </row>
    <row r="181" spans="2:34" ht="15.6" x14ac:dyDescent="0.3">
      <c r="B181" s="8">
        <v>167</v>
      </c>
      <c r="C181" s="47" t="s">
        <v>205</v>
      </c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46">
        <v>5</v>
      </c>
      <c r="T181" s="147">
        <v>5</v>
      </c>
      <c r="U181" s="147">
        <v>7</v>
      </c>
      <c r="V181" s="147">
        <v>3</v>
      </c>
      <c r="W181" s="147">
        <v>6</v>
      </c>
      <c r="X181" s="26">
        <v>26</v>
      </c>
      <c r="Y181" s="145">
        <v>17</v>
      </c>
      <c r="Z181" s="146">
        <v>3</v>
      </c>
      <c r="AA181" s="147">
        <v>3</v>
      </c>
      <c r="AB181" s="147">
        <v>0</v>
      </c>
      <c r="AC181" s="147">
        <v>4</v>
      </c>
      <c r="AD181" s="147">
        <v>0</v>
      </c>
      <c r="AE181" s="147">
        <v>0</v>
      </c>
      <c r="AF181" s="145">
        <v>10</v>
      </c>
      <c r="AG181" s="130">
        <v>5</v>
      </c>
      <c r="AH181" s="94">
        <v>58</v>
      </c>
    </row>
    <row r="182" spans="2:34" ht="15.6" x14ac:dyDescent="0.3">
      <c r="B182" s="8">
        <v>168</v>
      </c>
      <c r="C182" s="47" t="s">
        <v>206</v>
      </c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46">
        <v>5</v>
      </c>
      <c r="T182" s="147">
        <v>5</v>
      </c>
      <c r="U182" s="147">
        <v>7</v>
      </c>
      <c r="V182" s="147">
        <v>3</v>
      </c>
      <c r="W182" s="147">
        <v>3</v>
      </c>
      <c r="X182" s="26">
        <v>23</v>
      </c>
      <c r="Y182" s="145">
        <v>17</v>
      </c>
      <c r="Z182" s="146">
        <v>3</v>
      </c>
      <c r="AA182" s="147">
        <v>3</v>
      </c>
      <c r="AB182" s="147">
        <v>0</v>
      </c>
      <c r="AC182" s="147">
        <v>4</v>
      </c>
      <c r="AD182" s="147">
        <v>0</v>
      </c>
      <c r="AE182" s="147">
        <v>0</v>
      </c>
      <c r="AF182" s="145">
        <v>10</v>
      </c>
      <c r="AG182" s="130">
        <v>5</v>
      </c>
      <c r="AH182" s="94">
        <v>55</v>
      </c>
    </row>
    <row r="183" spans="2:34" ht="15.6" x14ac:dyDescent="0.3">
      <c r="B183" s="8">
        <v>169</v>
      </c>
      <c r="C183" s="47" t="s">
        <v>207</v>
      </c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46">
        <v>5</v>
      </c>
      <c r="T183" s="147">
        <v>5</v>
      </c>
      <c r="U183" s="147">
        <v>6</v>
      </c>
      <c r="V183" s="147">
        <v>4</v>
      </c>
      <c r="W183" s="147">
        <v>5</v>
      </c>
      <c r="X183" s="26">
        <v>25</v>
      </c>
      <c r="Y183" s="145">
        <v>16</v>
      </c>
      <c r="Z183" s="146">
        <v>3</v>
      </c>
      <c r="AA183" s="147">
        <v>3</v>
      </c>
      <c r="AB183" s="147">
        <v>0</v>
      </c>
      <c r="AC183" s="147">
        <v>3</v>
      </c>
      <c r="AD183" s="147">
        <v>1</v>
      </c>
      <c r="AE183" s="147">
        <v>0</v>
      </c>
      <c r="AF183" s="145">
        <v>10</v>
      </c>
      <c r="AG183" s="130">
        <v>5</v>
      </c>
      <c r="AH183" s="94">
        <v>56</v>
      </c>
    </row>
    <row r="184" spans="2:34" ht="15.6" x14ac:dyDescent="0.3">
      <c r="B184" s="8">
        <v>170</v>
      </c>
      <c r="C184" s="47" t="s">
        <v>208</v>
      </c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46">
        <v>5</v>
      </c>
      <c r="T184" s="147">
        <v>6</v>
      </c>
      <c r="U184" s="147">
        <v>7</v>
      </c>
      <c r="V184" s="147">
        <v>4</v>
      </c>
      <c r="W184" s="147">
        <v>5</v>
      </c>
      <c r="X184" s="26">
        <v>27</v>
      </c>
      <c r="Y184" s="149">
        <v>19</v>
      </c>
      <c r="Z184" s="146">
        <v>3</v>
      </c>
      <c r="AA184" s="147">
        <v>3</v>
      </c>
      <c r="AB184" s="147">
        <v>0</v>
      </c>
      <c r="AC184" s="147">
        <v>3</v>
      </c>
      <c r="AD184" s="147">
        <v>0</v>
      </c>
      <c r="AE184" s="147">
        <v>0</v>
      </c>
      <c r="AF184" s="145">
        <v>9</v>
      </c>
      <c r="AG184" s="130">
        <v>5</v>
      </c>
      <c r="AH184" s="94">
        <v>60</v>
      </c>
    </row>
    <row r="185" spans="2:34" ht="15.6" x14ac:dyDescent="0.3">
      <c r="B185" s="8">
        <v>171</v>
      </c>
      <c r="C185" s="47" t="s">
        <v>209</v>
      </c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46" t="s">
        <v>220</v>
      </c>
      <c r="T185" s="147" t="s">
        <v>220</v>
      </c>
      <c r="U185" s="147" t="s">
        <v>220</v>
      </c>
      <c r="V185" s="147" t="s">
        <v>220</v>
      </c>
      <c r="W185" s="147" t="s">
        <v>220</v>
      </c>
      <c r="X185" s="26">
        <v>0</v>
      </c>
      <c r="Y185" s="150" t="s">
        <v>220</v>
      </c>
      <c r="Z185" s="147" t="s">
        <v>220</v>
      </c>
      <c r="AA185" s="147" t="s">
        <v>220</v>
      </c>
      <c r="AB185" s="147">
        <v>0</v>
      </c>
      <c r="AC185" s="147" t="s">
        <v>220</v>
      </c>
      <c r="AD185" s="147" t="s">
        <v>220</v>
      </c>
      <c r="AE185" s="147" t="s">
        <v>220</v>
      </c>
      <c r="AF185" s="145">
        <v>0</v>
      </c>
      <c r="AG185" s="130">
        <v>0</v>
      </c>
      <c r="AH185" s="94">
        <v>0</v>
      </c>
    </row>
    <row r="186" spans="2:34" ht="15.6" x14ac:dyDescent="0.3">
      <c r="B186" s="8">
        <v>172</v>
      </c>
      <c r="C186" s="47" t="s">
        <v>210</v>
      </c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46">
        <v>5</v>
      </c>
      <c r="T186" s="147">
        <v>5</v>
      </c>
      <c r="U186" s="147" t="s">
        <v>220</v>
      </c>
      <c r="V186" s="147">
        <v>1</v>
      </c>
      <c r="W186" s="147">
        <v>2</v>
      </c>
      <c r="X186" s="26">
        <v>13</v>
      </c>
      <c r="Y186" s="151">
        <v>15</v>
      </c>
      <c r="Z186" s="147">
        <v>3</v>
      </c>
      <c r="AA186" s="147">
        <v>3</v>
      </c>
      <c r="AB186" s="147">
        <v>0</v>
      </c>
      <c r="AC186" s="147">
        <v>3</v>
      </c>
      <c r="AD186" s="147">
        <v>0</v>
      </c>
      <c r="AE186" s="147">
        <v>2</v>
      </c>
      <c r="AF186" s="145">
        <v>11</v>
      </c>
      <c r="AG186" s="130">
        <v>5</v>
      </c>
      <c r="AH186" s="94">
        <v>44</v>
      </c>
    </row>
    <row r="187" spans="2:34" ht="15.6" x14ac:dyDescent="0.3">
      <c r="B187" s="8">
        <v>173</v>
      </c>
      <c r="C187" s="47" t="s">
        <v>211</v>
      </c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46">
        <v>4</v>
      </c>
      <c r="T187" s="147">
        <v>4</v>
      </c>
      <c r="U187" s="147">
        <v>4</v>
      </c>
      <c r="V187" s="147" t="s">
        <v>220</v>
      </c>
      <c r="W187" s="147">
        <v>3</v>
      </c>
      <c r="X187" s="26">
        <v>15</v>
      </c>
      <c r="Y187" s="145">
        <v>7</v>
      </c>
      <c r="Z187" s="146">
        <v>3</v>
      </c>
      <c r="AA187" s="147">
        <v>3</v>
      </c>
      <c r="AB187" s="147">
        <v>0</v>
      </c>
      <c r="AC187" s="147">
        <v>2</v>
      </c>
      <c r="AD187" s="147">
        <v>0</v>
      </c>
      <c r="AE187" s="147">
        <v>0</v>
      </c>
      <c r="AF187" s="145">
        <v>8</v>
      </c>
      <c r="AG187" s="130">
        <v>5</v>
      </c>
      <c r="AH187" s="94">
        <v>35</v>
      </c>
    </row>
    <row r="188" spans="2:34" ht="15.6" x14ac:dyDescent="0.3">
      <c r="B188" s="8">
        <v>174</v>
      </c>
      <c r="C188" s="47" t="s">
        <v>212</v>
      </c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46" t="s">
        <v>220</v>
      </c>
      <c r="T188" s="147">
        <v>2</v>
      </c>
      <c r="U188" s="147">
        <v>2</v>
      </c>
      <c r="V188" s="147" t="s">
        <v>220</v>
      </c>
      <c r="W188" s="147">
        <v>4</v>
      </c>
      <c r="X188" s="26">
        <v>8</v>
      </c>
      <c r="Y188" s="145">
        <v>18</v>
      </c>
      <c r="Z188" s="146" t="s">
        <v>220</v>
      </c>
      <c r="AA188" s="147" t="s">
        <v>220</v>
      </c>
      <c r="AB188" s="147">
        <v>0</v>
      </c>
      <c r="AC188" s="147">
        <v>2</v>
      </c>
      <c r="AD188" s="147" t="s">
        <v>220</v>
      </c>
      <c r="AE188" s="147" t="s">
        <v>220</v>
      </c>
      <c r="AF188" s="145">
        <v>2</v>
      </c>
      <c r="AG188" s="130">
        <v>5</v>
      </c>
      <c r="AH188" s="94">
        <v>33</v>
      </c>
    </row>
    <row r="189" spans="2:34" ht="15.6" x14ac:dyDescent="0.3">
      <c r="B189" s="8">
        <v>175</v>
      </c>
      <c r="C189" s="47" t="s">
        <v>213</v>
      </c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46">
        <v>5</v>
      </c>
      <c r="T189" s="147">
        <v>5</v>
      </c>
      <c r="U189" s="147">
        <v>5</v>
      </c>
      <c r="V189" s="147" t="s">
        <v>220</v>
      </c>
      <c r="W189" s="147">
        <v>4</v>
      </c>
      <c r="X189" s="26">
        <v>19</v>
      </c>
      <c r="Y189" s="145">
        <v>13</v>
      </c>
      <c r="Z189" s="146">
        <v>3</v>
      </c>
      <c r="AA189" s="147">
        <v>3</v>
      </c>
      <c r="AB189" s="147">
        <v>0</v>
      </c>
      <c r="AC189" s="147">
        <v>3</v>
      </c>
      <c r="AD189" s="147">
        <v>0</v>
      </c>
      <c r="AE189" s="147">
        <v>0</v>
      </c>
      <c r="AF189" s="145">
        <v>9</v>
      </c>
      <c r="AG189" s="130">
        <v>2</v>
      </c>
      <c r="AH189" s="94">
        <v>43</v>
      </c>
    </row>
    <row r="190" spans="2:34" ht="15.6" x14ac:dyDescent="0.3">
      <c r="B190" s="8">
        <v>176</v>
      </c>
      <c r="C190" s="47" t="s">
        <v>214</v>
      </c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46">
        <v>2</v>
      </c>
      <c r="T190" s="147">
        <v>5</v>
      </c>
      <c r="U190" s="147">
        <v>2</v>
      </c>
      <c r="V190" s="147">
        <v>2</v>
      </c>
      <c r="W190" s="147">
        <v>4</v>
      </c>
      <c r="X190" s="26">
        <v>15</v>
      </c>
      <c r="Y190" s="145">
        <v>16</v>
      </c>
      <c r="Z190" s="146">
        <v>3</v>
      </c>
      <c r="AA190" s="147">
        <v>3</v>
      </c>
      <c r="AB190" s="147">
        <v>0</v>
      </c>
      <c r="AC190" s="147">
        <v>0</v>
      </c>
      <c r="AD190" s="147">
        <v>0</v>
      </c>
      <c r="AE190" s="147">
        <v>0</v>
      </c>
      <c r="AF190" s="145">
        <v>6</v>
      </c>
      <c r="AG190" s="130">
        <v>5</v>
      </c>
      <c r="AH190" s="94">
        <v>42</v>
      </c>
    </row>
    <row r="191" spans="2:34" ht="15.6" x14ac:dyDescent="0.3">
      <c r="B191" s="8">
        <v>177</v>
      </c>
      <c r="C191" s="47" t="s">
        <v>215</v>
      </c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46">
        <v>4</v>
      </c>
      <c r="T191" s="147" t="s">
        <v>220</v>
      </c>
      <c r="U191" s="147">
        <v>4</v>
      </c>
      <c r="V191" s="147">
        <v>2</v>
      </c>
      <c r="W191" s="147">
        <v>4</v>
      </c>
      <c r="X191" s="26">
        <v>14</v>
      </c>
      <c r="Y191" s="145">
        <v>11</v>
      </c>
      <c r="Z191" s="146">
        <v>3</v>
      </c>
      <c r="AA191" s="147">
        <v>3</v>
      </c>
      <c r="AB191" s="147">
        <v>0</v>
      </c>
      <c r="AC191" s="147">
        <v>2</v>
      </c>
      <c r="AD191" s="147">
        <v>0</v>
      </c>
      <c r="AE191" s="147">
        <v>0</v>
      </c>
      <c r="AF191" s="145">
        <v>8</v>
      </c>
      <c r="AG191" s="130">
        <v>5</v>
      </c>
      <c r="AH191" s="94">
        <v>38</v>
      </c>
    </row>
    <row r="192" spans="2:34" ht="15.6" x14ac:dyDescent="0.3">
      <c r="B192" s="8">
        <v>178</v>
      </c>
      <c r="C192" s="47" t="s">
        <v>216</v>
      </c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46">
        <v>5</v>
      </c>
      <c r="T192" s="147">
        <v>5</v>
      </c>
      <c r="U192" s="147">
        <v>7</v>
      </c>
      <c r="V192" s="147">
        <v>3</v>
      </c>
      <c r="W192" s="147">
        <v>6</v>
      </c>
      <c r="X192" s="26">
        <v>26</v>
      </c>
      <c r="Y192" s="145">
        <v>16</v>
      </c>
      <c r="Z192" s="146">
        <v>3</v>
      </c>
      <c r="AA192" s="147">
        <v>3</v>
      </c>
      <c r="AB192" s="147">
        <v>0</v>
      </c>
      <c r="AC192" s="147">
        <v>3</v>
      </c>
      <c r="AD192" s="147" t="s">
        <v>220</v>
      </c>
      <c r="AE192" s="147">
        <v>0</v>
      </c>
      <c r="AF192" s="145">
        <v>9</v>
      </c>
      <c r="AG192" s="130">
        <v>5</v>
      </c>
      <c r="AH192" s="94">
        <v>56</v>
      </c>
    </row>
    <row r="193" spans="2:34" ht="15.6" x14ac:dyDescent="0.3">
      <c r="B193" s="8">
        <v>179</v>
      </c>
      <c r="C193" s="47" t="s">
        <v>217</v>
      </c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46">
        <v>5</v>
      </c>
      <c r="T193" s="147">
        <v>5</v>
      </c>
      <c r="U193" s="147">
        <v>3</v>
      </c>
      <c r="V193" s="147">
        <v>2</v>
      </c>
      <c r="W193" s="147">
        <v>3</v>
      </c>
      <c r="X193" s="26">
        <v>18</v>
      </c>
      <c r="Y193" s="145">
        <v>17</v>
      </c>
      <c r="Z193" s="146">
        <v>3</v>
      </c>
      <c r="AA193" s="147">
        <v>3</v>
      </c>
      <c r="AB193" s="147">
        <v>0</v>
      </c>
      <c r="AC193" s="147">
        <v>2</v>
      </c>
      <c r="AD193" s="147">
        <v>0</v>
      </c>
      <c r="AE193" s="147">
        <v>0</v>
      </c>
      <c r="AF193" s="145">
        <v>8</v>
      </c>
      <c r="AG193" s="130">
        <v>5</v>
      </c>
      <c r="AH193" s="94">
        <v>48</v>
      </c>
    </row>
    <row r="194" spans="2:34" ht="15.6" x14ac:dyDescent="0.3">
      <c r="B194" s="8">
        <v>180</v>
      </c>
      <c r="C194" s="47" t="s">
        <v>218</v>
      </c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46">
        <v>4</v>
      </c>
      <c r="T194" s="147">
        <v>4</v>
      </c>
      <c r="U194" s="147">
        <v>6</v>
      </c>
      <c r="V194" s="147">
        <v>3</v>
      </c>
      <c r="W194" s="147">
        <v>3</v>
      </c>
      <c r="X194" s="26">
        <v>20</v>
      </c>
      <c r="Y194" s="145">
        <v>13</v>
      </c>
      <c r="Z194" s="146">
        <v>4</v>
      </c>
      <c r="AA194" s="147">
        <v>3</v>
      </c>
      <c r="AB194" s="147">
        <v>0</v>
      </c>
      <c r="AC194" s="147">
        <v>3</v>
      </c>
      <c r="AD194" s="147">
        <v>0</v>
      </c>
      <c r="AE194" s="147">
        <v>0</v>
      </c>
      <c r="AF194" s="145">
        <v>10</v>
      </c>
      <c r="AG194" s="130">
        <v>5</v>
      </c>
      <c r="AH194" s="94">
        <v>48</v>
      </c>
    </row>
    <row r="195" spans="2:34" ht="15.6" x14ac:dyDescent="0.3">
      <c r="B195" s="8">
        <v>181</v>
      </c>
      <c r="C195" s="47" t="s">
        <v>219</v>
      </c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46">
        <v>5</v>
      </c>
      <c r="T195" s="147">
        <v>4</v>
      </c>
      <c r="U195" s="147" t="s">
        <v>220</v>
      </c>
      <c r="V195" s="147">
        <v>2</v>
      </c>
      <c r="W195" s="147" t="s">
        <v>220</v>
      </c>
      <c r="X195" s="26">
        <v>11</v>
      </c>
      <c r="Y195" s="145">
        <v>15</v>
      </c>
      <c r="Z195" s="146">
        <v>3</v>
      </c>
      <c r="AA195" s="147">
        <v>3</v>
      </c>
      <c r="AB195" s="147" t="s">
        <v>220</v>
      </c>
      <c r="AC195" s="147" t="s">
        <v>220</v>
      </c>
      <c r="AD195" s="147" t="s">
        <v>220</v>
      </c>
      <c r="AE195" s="147" t="s">
        <v>220</v>
      </c>
      <c r="AF195" s="145">
        <v>6</v>
      </c>
      <c r="AG195" s="130">
        <v>5</v>
      </c>
      <c r="AH195" s="94">
        <v>37</v>
      </c>
    </row>
    <row r="196" spans="2:34" x14ac:dyDescent="0.3">
      <c r="Z196" s="52"/>
      <c r="AA196" s="52"/>
      <c r="AB196" s="52"/>
      <c r="AC196" s="52"/>
      <c r="AD196" s="52"/>
      <c r="AE196" s="52"/>
      <c r="AG196" s="52"/>
    </row>
    <row r="197" spans="2:34" x14ac:dyDescent="0.3">
      <c r="Z197" s="52"/>
      <c r="AA197" s="52"/>
      <c r="AB197" s="52"/>
      <c r="AC197" s="52"/>
      <c r="AD197" s="52"/>
      <c r="AE197" s="52"/>
      <c r="AG197" s="52"/>
    </row>
    <row r="198" spans="2:34" x14ac:dyDescent="0.3">
      <c r="Z198" s="52"/>
      <c r="AA198" s="52"/>
      <c r="AB198" s="52"/>
      <c r="AC198" s="52"/>
      <c r="AD198" s="52"/>
      <c r="AE198" s="52"/>
      <c r="AG198" s="52"/>
    </row>
    <row r="199" spans="2:34" x14ac:dyDescent="0.3">
      <c r="Z199" s="52"/>
      <c r="AA199" s="52"/>
      <c r="AB199" s="52"/>
      <c r="AC199" s="52"/>
      <c r="AD199" s="52"/>
      <c r="AE199" s="52"/>
      <c r="AG199" s="52"/>
    </row>
    <row r="200" spans="2:34" x14ac:dyDescent="0.3">
      <c r="Z200" s="52"/>
      <c r="AA200" s="52"/>
      <c r="AB200" s="52"/>
      <c r="AC200" s="52"/>
      <c r="AD200" s="52"/>
      <c r="AE200" s="52"/>
      <c r="AG200" s="52"/>
    </row>
    <row r="201" spans="2:34" x14ac:dyDescent="0.3">
      <c r="Z201" s="52"/>
      <c r="AA201" s="52"/>
      <c r="AB201" s="52"/>
      <c r="AC201" s="52"/>
      <c r="AD201" s="52"/>
      <c r="AE201" s="52"/>
      <c r="AG201" s="52"/>
    </row>
    <row r="202" spans="2:34" x14ac:dyDescent="0.3">
      <c r="Z202" s="52"/>
      <c r="AA202" s="52"/>
      <c r="AB202" s="52"/>
      <c r="AC202" s="52"/>
      <c r="AD202" s="52"/>
      <c r="AE202" s="52"/>
      <c r="AG202" s="52"/>
    </row>
    <row r="203" spans="2:34" x14ac:dyDescent="0.3">
      <c r="Z203" s="52"/>
      <c r="AA203" s="52"/>
      <c r="AB203" s="52"/>
      <c r="AC203" s="52"/>
      <c r="AD203" s="52"/>
      <c r="AE203" s="52"/>
      <c r="AG203" s="52"/>
    </row>
    <row r="204" spans="2:34" x14ac:dyDescent="0.3">
      <c r="Z204" s="52"/>
      <c r="AA204" s="52"/>
      <c r="AB204" s="52"/>
      <c r="AC204" s="52"/>
      <c r="AD204" s="52"/>
      <c r="AE204" s="52"/>
      <c r="AG204" s="52"/>
    </row>
  </sheetData>
  <mergeCells count="32">
    <mergeCell ref="AM27:AQ27"/>
    <mergeCell ref="Q11:Q13"/>
    <mergeCell ref="S11:X11"/>
    <mergeCell ref="Y11:Y13"/>
    <mergeCell ref="Z11:AF12"/>
    <mergeCell ref="AG11:AG13"/>
    <mergeCell ref="AH11:AH13"/>
    <mergeCell ref="S12:T12"/>
    <mergeCell ref="U12:V12"/>
    <mergeCell ref="X12:X13"/>
    <mergeCell ref="AL18:AQ18"/>
    <mergeCell ref="AL19:AM19"/>
    <mergeCell ref="AL20:AL21"/>
    <mergeCell ref="AL22:AL23"/>
    <mergeCell ref="AL24:AL25"/>
    <mergeCell ref="B11:B14"/>
    <mergeCell ref="C11:C14"/>
    <mergeCell ref="D11:J11"/>
    <mergeCell ref="K11:K13"/>
    <mergeCell ref="L11:O12"/>
    <mergeCell ref="P11:P13"/>
    <mergeCell ref="D12:E12"/>
    <mergeCell ref="F12:G12"/>
    <mergeCell ref="H12:I12"/>
    <mergeCell ref="J12:J13"/>
    <mergeCell ref="B7:AH7"/>
    <mergeCell ref="B8:Y8"/>
    <mergeCell ref="Z8:AH8"/>
    <mergeCell ref="B9:S9"/>
    <mergeCell ref="T9:V9"/>
    <mergeCell ref="W9:Y9"/>
    <mergeCell ref="Z9:AH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CBDCC-E1D5-4341-9013-A4E9A7C3B1ED}">
  <dimension ref="B6:AL209"/>
  <sheetViews>
    <sheetView zoomScaleNormal="100" workbookViewId="0">
      <selection activeCell="Z9" sqref="Z9:AE9"/>
    </sheetView>
  </sheetViews>
  <sheetFormatPr defaultRowHeight="14.4" x14ac:dyDescent="0.3"/>
  <cols>
    <col min="3" max="3" width="14.44140625" bestFit="1" customWidth="1"/>
    <col min="4" max="4" width="0.109375" customWidth="1"/>
    <col min="5" max="9" width="8.88671875" hidden="1" customWidth="1"/>
    <col min="10" max="10" width="17.33203125" hidden="1" customWidth="1"/>
    <col min="11" max="11" width="14.5546875" hidden="1" customWidth="1"/>
    <col min="12" max="14" width="8.88671875" hidden="1" customWidth="1"/>
    <col min="15" max="15" width="15" hidden="1" customWidth="1"/>
    <col min="16" max="16" width="12.109375" hidden="1" customWidth="1"/>
    <col min="17" max="18" width="8.88671875" hidden="1" customWidth="1"/>
    <col min="24" max="24" width="17.33203125" bestFit="1" customWidth="1"/>
    <col min="25" max="25" width="14.5546875" bestFit="1" customWidth="1"/>
    <col min="29" max="29" width="15.5546875" customWidth="1"/>
    <col min="30" max="30" width="12.109375" bestFit="1" customWidth="1"/>
  </cols>
  <sheetData>
    <row r="6" spans="2:38" ht="36" customHeight="1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 t="s">
        <v>220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2:38" ht="32.4" customHeight="1" x14ac:dyDescent="0.3">
      <c r="B7" s="154" t="s">
        <v>0</v>
      </c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1"/>
      <c r="AG7" s="1"/>
      <c r="AH7" s="1"/>
      <c r="AI7" s="1"/>
      <c r="AJ7" s="1"/>
      <c r="AK7" s="1"/>
      <c r="AL7" s="1"/>
    </row>
    <row r="8" spans="2:38" ht="22.2" customHeight="1" x14ac:dyDescent="0.3">
      <c r="B8" s="156" t="s">
        <v>1</v>
      </c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 t="s">
        <v>237</v>
      </c>
      <c r="AA8" s="156"/>
      <c r="AB8" s="156"/>
      <c r="AC8" s="156"/>
      <c r="AD8" s="156"/>
      <c r="AE8" s="156"/>
      <c r="AF8" s="1"/>
      <c r="AG8" s="1"/>
      <c r="AH8" s="1"/>
      <c r="AI8" s="1"/>
      <c r="AJ8" s="1"/>
      <c r="AK8" s="1"/>
      <c r="AL8" s="1"/>
    </row>
    <row r="9" spans="2:38" ht="22.2" customHeight="1" x14ac:dyDescent="0.3">
      <c r="B9" s="157" t="s">
        <v>3</v>
      </c>
      <c r="C9" s="158"/>
      <c r="D9" s="158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  <c r="R9" s="158"/>
      <c r="S9" s="159"/>
      <c r="T9" s="157" t="s">
        <v>4</v>
      </c>
      <c r="U9" s="158"/>
      <c r="V9" s="159"/>
      <c r="W9" s="160" t="s">
        <v>5</v>
      </c>
      <c r="X9" s="161"/>
      <c r="Y9" s="162"/>
      <c r="Z9" s="157" t="s">
        <v>238</v>
      </c>
      <c r="AA9" s="158"/>
      <c r="AB9" s="158"/>
      <c r="AC9" s="158"/>
      <c r="AD9" s="158"/>
      <c r="AE9" s="159"/>
      <c r="AF9" s="1"/>
      <c r="AG9" s="1"/>
      <c r="AH9" s="1"/>
      <c r="AI9" s="1"/>
      <c r="AJ9" s="1"/>
      <c r="AK9" s="1"/>
      <c r="AL9" s="1"/>
    </row>
    <row r="10" spans="2:38" x14ac:dyDescent="0.3"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1"/>
      <c r="Q10" s="1" t="s">
        <v>220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2:38" ht="15.6" x14ac:dyDescent="0.3">
      <c r="B11" s="152" t="s">
        <v>7</v>
      </c>
      <c r="C11" s="152" t="s">
        <v>8</v>
      </c>
      <c r="D11" s="164" t="s">
        <v>9</v>
      </c>
      <c r="E11" s="164"/>
      <c r="F11" s="164"/>
      <c r="G11" s="164"/>
      <c r="H11" s="164"/>
      <c r="I11" s="164"/>
      <c r="J11" s="164"/>
      <c r="K11" s="165" t="s">
        <v>222</v>
      </c>
      <c r="L11" s="164" t="s">
        <v>223</v>
      </c>
      <c r="M11" s="164"/>
      <c r="N11" s="164"/>
      <c r="O11" s="164"/>
      <c r="P11" s="165" t="s">
        <v>224</v>
      </c>
      <c r="Q11" s="165" t="s">
        <v>225</v>
      </c>
      <c r="R11" s="6"/>
      <c r="S11" s="164" t="s">
        <v>10</v>
      </c>
      <c r="T11" s="164"/>
      <c r="U11" s="164"/>
      <c r="V11" s="164"/>
      <c r="W11" s="164"/>
      <c r="X11" s="164"/>
      <c r="Y11" s="165" t="s">
        <v>11</v>
      </c>
      <c r="Z11" s="164" t="s">
        <v>12</v>
      </c>
      <c r="AA11" s="164"/>
      <c r="AB11" s="164"/>
      <c r="AC11" s="164"/>
      <c r="AD11" s="165" t="s">
        <v>13</v>
      </c>
      <c r="AE11" s="165" t="s">
        <v>14</v>
      </c>
      <c r="AF11" s="1"/>
      <c r="AG11" s="1"/>
      <c r="AH11" s="1"/>
      <c r="AI11" s="1"/>
      <c r="AJ11" s="1"/>
      <c r="AK11" s="1"/>
      <c r="AL11" s="1"/>
    </row>
    <row r="12" spans="2:38" ht="15.6" x14ac:dyDescent="0.3">
      <c r="B12" s="152"/>
      <c r="C12" s="152"/>
      <c r="D12" s="152">
        <v>1</v>
      </c>
      <c r="E12" s="152"/>
      <c r="F12" s="152">
        <v>2</v>
      </c>
      <c r="G12" s="152"/>
      <c r="H12" s="152">
        <v>3</v>
      </c>
      <c r="I12" s="152"/>
      <c r="J12" s="165" t="s">
        <v>226</v>
      </c>
      <c r="K12" s="165"/>
      <c r="L12" s="164"/>
      <c r="M12" s="164"/>
      <c r="N12" s="164"/>
      <c r="O12" s="164"/>
      <c r="P12" s="165"/>
      <c r="Q12" s="165"/>
      <c r="R12" s="6"/>
      <c r="S12" s="160">
        <v>1</v>
      </c>
      <c r="T12" s="162"/>
      <c r="U12" s="160">
        <v>2</v>
      </c>
      <c r="V12" s="162"/>
      <c r="W12" s="4">
        <v>3</v>
      </c>
      <c r="X12" s="166" t="s">
        <v>15</v>
      </c>
      <c r="Y12" s="165"/>
      <c r="Z12" s="164"/>
      <c r="AA12" s="164"/>
      <c r="AB12" s="164"/>
      <c r="AC12" s="164"/>
      <c r="AD12" s="165"/>
      <c r="AE12" s="165"/>
      <c r="AF12" s="1"/>
      <c r="AG12" s="1"/>
      <c r="AH12" s="1"/>
      <c r="AI12" s="1"/>
      <c r="AJ12" s="1"/>
      <c r="AK12" s="1"/>
      <c r="AL12" s="1"/>
    </row>
    <row r="13" spans="2:38" ht="31.2" x14ac:dyDescent="0.3">
      <c r="B13" s="152"/>
      <c r="C13" s="152"/>
      <c r="D13" s="4" t="s">
        <v>16</v>
      </c>
      <c r="E13" s="4" t="s">
        <v>44</v>
      </c>
      <c r="F13" s="4" t="s">
        <v>16</v>
      </c>
      <c r="G13" s="4" t="s">
        <v>44</v>
      </c>
      <c r="H13" s="4" t="s">
        <v>16</v>
      </c>
      <c r="I13" s="4" t="s">
        <v>44</v>
      </c>
      <c r="J13" s="165"/>
      <c r="K13" s="165"/>
      <c r="L13" s="4">
        <v>1</v>
      </c>
      <c r="M13" s="4">
        <v>2</v>
      </c>
      <c r="N13" s="4">
        <v>3</v>
      </c>
      <c r="O13" s="7" t="s">
        <v>23</v>
      </c>
      <c r="P13" s="165"/>
      <c r="Q13" s="165"/>
      <c r="R13" s="6"/>
      <c r="S13" s="4" t="s">
        <v>17</v>
      </c>
      <c r="T13" s="4" t="s">
        <v>18</v>
      </c>
      <c r="U13" s="4" t="s">
        <v>17</v>
      </c>
      <c r="V13" s="4" t="s">
        <v>18</v>
      </c>
      <c r="W13" s="4" t="s">
        <v>17</v>
      </c>
      <c r="X13" s="166"/>
      <c r="Y13" s="165"/>
      <c r="Z13" s="4">
        <v>1</v>
      </c>
      <c r="AA13" s="4">
        <v>2</v>
      </c>
      <c r="AB13" s="4">
        <v>3</v>
      </c>
      <c r="AC13" s="7" t="s">
        <v>23</v>
      </c>
      <c r="AD13" s="165"/>
      <c r="AE13" s="165"/>
      <c r="AF13" s="1"/>
      <c r="AG13" s="1"/>
      <c r="AH13" s="1"/>
      <c r="AI13" s="1"/>
      <c r="AJ13" s="1"/>
      <c r="AK13" s="1"/>
      <c r="AL13" s="1"/>
    </row>
    <row r="14" spans="2:38" ht="21.6" customHeight="1" x14ac:dyDescent="0.3">
      <c r="B14" s="152"/>
      <c r="C14" s="152"/>
      <c r="D14" s="4" t="s">
        <v>24</v>
      </c>
      <c r="E14" s="4" t="s">
        <v>24</v>
      </c>
      <c r="F14" s="4" t="s">
        <v>24</v>
      </c>
      <c r="G14" s="4" t="s">
        <v>227</v>
      </c>
      <c r="H14" s="4" t="s">
        <v>24</v>
      </c>
      <c r="I14" s="4" t="s">
        <v>228</v>
      </c>
      <c r="J14" s="5" t="s">
        <v>26</v>
      </c>
      <c r="K14" s="5" t="s">
        <v>27</v>
      </c>
      <c r="L14" s="4" t="s">
        <v>24</v>
      </c>
      <c r="M14" s="4" t="s">
        <v>24</v>
      </c>
      <c r="N14" s="4" t="s">
        <v>228</v>
      </c>
      <c r="O14" s="5" t="s">
        <v>27</v>
      </c>
      <c r="P14" s="5" t="s">
        <v>29</v>
      </c>
      <c r="Q14" s="5" t="s">
        <v>30</v>
      </c>
      <c r="R14" s="6"/>
      <c r="S14" s="4" t="s">
        <v>25</v>
      </c>
      <c r="T14" s="4" t="s">
        <v>25</v>
      </c>
      <c r="U14" s="4" t="s">
        <v>25</v>
      </c>
      <c r="V14" s="4" t="s">
        <v>25</v>
      </c>
      <c r="W14" s="4" t="s">
        <v>25</v>
      </c>
      <c r="X14" s="5" t="s">
        <v>26</v>
      </c>
      <c r="Y14" s="5" t="s">
        <v>27</v>
      </c>
      <c r="Z14" s="4" t="s">
        <v>230</v>
      </c>
      <c r="AA14" s="4" t="s">
        <v>229</v>
      </c>
      <c r="AB14" s="4" t="s">
        <v>231</v>
      </c>
      <c r="AC14" s="5" t="s">
        <v>27</v>
      </c>
      <c r="AD14" s="5" t="s">
        <v>29</v>
      </c>
      <c r="AE14" s="5" t="s">
        <v>30</v>
      </c>
      <c r="AF14" s="1"/>
      <c r="AG14" s="1"/>
      <c r="AH14" s="1"/>
      <c r="AI14" s="1"/>
      <c r="AJ14" s="1"/>
      <c r="AK14" s="1"/>
      <c r="AL14" s="1"/>
    </row>
    <row r="15" spans="2:38" ht="19.2" customHeight="1" x14ac:dyDescent="0.3">
      <c r="B15" s="8">
        <v>1</v>
      </c>
      <c r="C15" s="9" t="s">
        <v>31</v>
      </c>
      <c r="D15" s="8"/>
      <c r="E15" s="10"/>
      <c r="F15" s="10"/>
      <c r="G15" s="10"/>
      <c r="H15" s="10"/>
      <c r="I15" s="11"/>
      <c r="J15" s="10">
        <f>SUM(D15:I15)</f>
        <v>0</v>
      </c>
      <c r="K15" s="12"/>
      <c r="L15" s="10"/>
      <c r="M15" s="10"/>
      <c r="N15" s="10"/>
      <c r="O15" s="10">
        <f>SUM(L15:N15)</f>
        <v>0</v>
      </c>
      <c r="P15" s="10"/>
      <c r="Q15" s="13"/>
      <c r="R15" s="14"/>
      <c r="S15" s="53">
        <v>2</v>
      </c>
      <c r="T15" s="54">
        <v>5</v>
      </c>
      <c r="U15" s="54">
        <v>3</v>
      </c>
      <c r="V15" s="54">
        <v>4</v>
      </c>
      <c r="W15" s="55">
        <v>4</v>
      </c>
      <c r="X15" s="26">
        <f>SUM(S15:W15)</f>
        <v>18</v>
      </c>
      <c r="Y15" s="62">
        <v>15</v>
      </c>
      <c r="Z15" s="65">
        <v>4</v>
      </c>
      <c r="AA15" s="65">
        <v>8</v>
      </c>
      <c r="AB15" s="65">
        <v>4</v>
      </c>
      <c r="AC15" s="26">
        <f t="shared" ref="AC15:AC46" si="0">SUM(Z15:AB15)</f>
        <v>16</v>
      </c>
      <c r="AD15" s="25">
        <v>5</v>
      </c>
      <c r="AE15" s="28">
        <f t="shared" ref="AE15:AE46" si="1">SUM(X15,Y15,AC15,AD15)</f>
        <v>54</v>
      </c>
      <c r="AF15" s="1"/>
      <c r="AG15" s="1"/>
      <c r="AH15" s="1"/>
      <c r="AI15" s="1"/>
      <c r="AJ15" s="1"/>
      <c r="AK15" s="1"/>
      <c r="AL15" s="1"/>
    </row>
    <row r="16" spans="2:38" ht="19.2" customHeight="1" x14ac:dyDescent="0.3">
      <c r="B16" s="8">
        <v>2</v>
      </c>
      <c r="C16" s="15" t="s">
        <v>32</v>
      </c>
      <c r="D16" s="8"/>
      <c r="E16" s="10"/>
      <c r="F16" s="10"/>
      <c r="G16" s="10"/>
      <c r="H16" s="10"/>
      <c r="I16" s="11"/>
      <c r="J16" s="10">
        <f t="shared" ref="J16:J72" si="2">SUM(D16:I16)</f>
        <v>0</v>
      </c>
      <c r="K16" s="12"/>
      <c r="L16" s="10"/>
      <c r="M16" s="10"/>
      <c r="N16" s="10"/>
      <c r="O16" s="10">
        <f t="shared" ref="O16:O72" si="3">SUM(L16:N16)</f>
        <v>0</v>
      </c>
      <c r="P16" s="10"/>
      <c r="Q16" s="13"/>
      <c r="R16" s="16"/>
      <c r="S16" s="56">
        <v>4</v>
      </c>
      <c r="T16" s="57">
        <v>4</v>
      </c>
      <c r="U16" s="57">
        <v>5</v>
      </c>
      <c r="V16" s="57">
        <v>3</v>
      </c>
      <c r="W16" s="58">
        <v>5</v>
      </c>
      <c r="X16" s="26">
        <f t="shared" ref="X16:X79" si="4">SUM(S16:W16)</f>
        <v>21</v>
      </c>
      <c r="Y16" s="63">
        <v>10</v>
      </c>
      <c r="Z16" s="66">
        <v>4</v>
      </c>
      <c r="AA16" s="66">
        <v>4</v>
      </c>
      <c r="AB16" s="66">
        <v>2</v>
      </c>
      <c r="AC16" s="26">
        <f t="shared" si="0"/>
        <v>10</v>
      </c>
      <c r="AD16" s="25">
        <v>2</v>
      </c>
      <c r="AE16" s="28">
        <f t="shared" si="1"/>
        <v>43</v>
      </c>
      <c r="AF16" s="1"/>
      <c r="AG16" s="1"/>
    </row>
    <row r="17" spans="2:38" ht="19.2" customHeight="1" x14ac:dyDescent="0.3">
      <c r="B17" s="8">
        <v>3</v>
      </c>
      <c r="C17" s="15" t="s">
        <v>33</v>
      </c>
      <c r="D17" s="8"/>
      <c r="E17" s="10"/>
      <c r="F17" s="10"/>
      <c r="G17" s="17"/>
      <c r="H17" s="10"/>
      <c r="I17" s="11"/>
      <c r="J17" s="10">
        <f t="shared" si="2"/>
        <v>0</v>
      </c>
      <c r="K17" s="12"/>
      <c r="L17" s="10"/>
      <c r="M17" s="10"/>
      <c r="N17" s="10"/>
      <c r="O17" s="10">
        <f t="shared" si="3"/>
        <v>0</v>
      </c>
      <c r="P17" s="10"/>
      <c r="Q17" s="13"/>
      <c r="R17" s="16"/>
      <c r="S17" s="56">
        <v>3</v>
      </c>
      <c r="T17" s="57">
        <v>3</v>
      </c>
      <c r="U17" s="57">
        <v>6</v>
      </c>
      <c r="V17" s="57">
        <v>5</v>
      </c>
      <c r="W17" s="59">
        <v>6</v>
      </c>
      <c r="X17" s="26">
        <f t="shared" si="4"/>
        <v>23</v>
      </c>
      <c r="Y17" s="63">
        <v>14</v>
      </c>
      <c r="Z17" s="66">
        <v>6</v>
      </c>
      <c r="AA17" s="66">
        <v>8</v>
      </c>
      <c r="AB17" s="66">
        <v>4</v>
      </c>
      <c r="AC17" s="26">
        <f t="shared" si="0"/>
        <v>18</v>
      </c>
      <c r="AD17" s="25">
        <v>5</v>
      </c>
      <c r="AE17" s="28">
        <f t="shared" si="1"/>
        <v>60</v>
      </c>
      <c r="AF17" s="1"/>
      <c r="AG17" s="1"/>
    </row>
    <row r="18" spans="2:38" ht="19.2" customHeight="1" x14ac:dyDescent="0.3">
      <c r="B18" s="8">
        <v>4</v>
      </c>
      <c r="C18" s="15" t="s">
        <v>34</v>
      </c>
      <c r="D18" s="8"/>
      <c r="E18" s="10"/>
      <c r="F18" s="10"/>
      <c r="G18" s="17"/>
      <c r="H18" s="17"/>
      <c r="I18" s="11"/>
      <c r="J18" s="10">
        <f t="shared" si="2"/>
        <v>0</v>
      </c>
      <c r="K18" s="12"/>
      <c r="L18" s="10"/>
      <c r="M18" s="10"/>
      <c r="N18" s="10"/>
      <c r="O18" s="10">
        <f t="shared" si="3"/>
        <v>0</v>
      </c>
      <c r="P18" s="10"/>
      <c r="Q18" s="13"/>
      <c r="R18" s="16"/>
      <c r="S18" s="56">
        <v>5</v>
      </c>
      <c r="T18" s="57">
        <v>6</v>
      </c>
      <c r="U18" s="57">
        <v>6</v>
      </c>
      <c r="V18" s="57">
        <v>5</v>
      </c>
      <c r="W18" s="59">
        <v>6</v>
      </c>
      <c r="X18" s="26">
        <f t="shared" si="4"/>
        <v>28</v>
      </c>
      <c r="Y18" s="63">
        <v>18</v>
      </c>
      <c r="Z18" s="66">
        <v>8</v>
      </c>
      <c r="AA18" s="66">
        <v>8</v>
      </c>
      <c r="AB18" s="66">
        <v>4</v>
      </c>
      <c r="AC18" s="26">
        <f t="shared" si="0"/>
        <v>20</v>
      </c>
      <c r="AD18" s="25">
        <v>5</v>
      </c>
      <c r="AE18" s="28">
        <f t="shared" si="1"/>
        <v>71</v>
      </c>
      <c r="AF18" s="1"/>
      <c r="AG18" s="167" t="s">
        <v>35</v>
      </c>
      <c r="AH18" s="167"/>
      <c r="AI18" s="167"/>
      <c r="AJ18" s="167"/>
      <c r="AK18" s="167"/>
      <c r="AL18" s="167"/>
    </row>
    <row r="19" spans="2:38" ht="19.2" customHeight="1" x14ac:dyDescent="0.3">
      <c r="B19" s="8">
        <v>5</v>
      </c>
      <c r="C19" s="15" t="s">
        <v>36</v>
      </c>
      <c r="D19" s="8"/>
      <c r="E19" s="10"/>
      <c r="F19" s="10"/>
      <c r="G19" s="17"/>
      <c r="H19" s="17"/>
      <c r="I19" s="11"/>
      <c r="J19" s="10">
        <f t="shared" si="2"/>
        <v>0</v>
      </c>
      <c r="K19" s="12"/>
      <c r="L19" s="10"/>
      <c r="M19" s="10"/>
      <c r="N19" s="10"/>
      <c r="O19" s="10">
        <f t="shared" si="3"/>
        <v>0</v>
      </c>
      <c r="P19" s="10"/>
      <c r="Q19" s="13"/>
      <c r="R19" s="16"/>
      <c r="S19" s="56">
        <v>5</v>
      </c>
      <c r="T19" s="57">
        <v>4</v>
      </c>
      <c r="U19" s="57">
        <v>4</v>
      </c>
      <c r="V19" s="57">
        <v>5</v>
      </c>
      <c r="W19" s="59">
        <v>5</v>
      </c>
      <c r="X19" s="26">
        <f t="shared" si="4"/>
        <v>23</v>
      </c>
      <c r="Y19" s="63">
        <v>17</v>
      </c>
      <c r="Z19" s="66">
        <v>6</v>
      </c>
      <c r="AA19" s="66">
        <v>4</v>
      </c>
      <c r="AB19" s="66">
        <v>4</v>
      </c>
      <c r="AC19" s="26">
        <f t="shared" si="0"/>
        <v>14</v>
      </c>
      <c r="AD19" s="25">
        <v>2</v>
      </c>
      <c r="AE19" s="28">
        <f t="shared" si="1"/>
        <v>56</v>
      </c>
      <c r="AF19" s="1"/>
      <c r="AG19" s="168" t="s">
        <v>37</v>
      </c>
      <c r="AH19" s="169"/>
      <c r="AI19" s="11" t="s">
        <v>38</v>
      </c>
      <c r="AJ19" s="30" t="s">
        <v>39</v>
      </c>
      <c r="AK19" s="11" t="s">
        <v>40</v>
      </c>
      <c r="AL19" s="20" t="s">
        <v>41</v>
      </c>
    </row>
    <row r="20" spans="2:38" ht="19.2" customHeight="1" x14ac:dyDescent="0.3">
      <c r="B20" s="8">
        <v>6</v>
      </c>
      <c r="C20" s="15" t="s">
        <v>42</v>
      </c>
      <c r="D20" s="8"/>
      <c r="E20" s="10"/>
      <c r="F20" s="10"/>
      <c r="G20" s="17"/>
      <c r="H20" s="17"/>
      <c r="I20" s="11"/>
      <c r="J20" s="10">
        <f t="shared" si="2"/>
        <v>0</v>
      </c>
      <c r="K20" s="12"/>
      <c r="L20" s="10"/>
      <c r="M20" s="10"/>
      <c r="N20" s="10"/>
      <c r="O20" s="10">
        <f t="shared" si="3"/>
        <v>0</v>
      </c>
      <c r="P20" s="10"/>
      <c r="Q20" s="13"/>
      <c r="R20" s="16"/>
      <c r="S20" s="56">
        <v>3</v>
      </c>
      <c r="T20" s="57">
        <v>5</v>
      </c>
      <c r="U20" s="57">
        <v>5</v>
      </c>
      <c r="V20" s="57">
        <v>4</v>
      </c>
      <c r="W20" s="59">
        <v>3</v>
      </c>
      <c r="X20" s="26">
        <f t="shared" si="4"/>
        <v>20</v>
      </c>
      <c r="Y20" s="63">
        <v>15</v>
      </c>
      <c r="Z20" s="66">
        <v>3</v>
      </c>
      <c r="AA20" s="66">
        <v>8</v>
      </c>
      <c r="AB20" s="66">
        <v>4</v>
      </c>
      <c r="AC20" s="26">
        <f t="shared" si="0"/>
        <v>15</v>
      </c>
      <c r="AD20" s="25">
        <v>2</v>
      </c>
      <c r="AE20" s="28">
        <f t="shared" si="1"/>
        <v>52</v>
      </c>
      <c r="AF20" s="1"/>
      <c r="AG20" s="170">
        <v>1</v>
      </c>
      <c r="AH20" s="10" t="s">
        <v>16</v>
      </c>
      <c r="AI20" s="13"/>
      <c r="AJ20" s="31"/>
      <c r="AK20" s="10"/>
      <c r="AL20" s="10"/>
    </row>
    <row r="21" spans="2:38" ht="19.2" customHeight="1" x14ac:dyDescent="0.3">
      <c r="B21" s="8">
        <v>7</v>
      </c>
      <c r="C21" s="15" t="s">
        <v>43</v>
      </c>
      <c r="D21" s="8"/>
      <c r="E21" s="10"/>
      <c r="F21" s="10"/>
      <c r="G21" s="10"/>
      <c r="H21" s="10"/>
      <c r="I21" s="11"/>
      <c r="J21" s="10">
        <f t="shared" si="2"/>
        <v>0</v>
      </c>
      <c r="K21" s="12"/>
      <c r="L21" s="10"/>
      <c r="M21" s="10"/>
      <c r="N21" s="10"/>
      <c r="O21" s="10">
        <f t="shared" si="3"/>
        <v>0</v>
      </c>
      <c r="P21" s="10"/>
      <c r="Q21" s="13"/>
      <c r="R21" s="16"/>
      <c r="S21" s="56">
        <v>5</v>
      </c>
      <c r="T21" s="57">
        <v>5</v>
      </c>
      <c r="U21" s="57">
        <v>6</v>
      </c>
      <c r="V21" s="57">
        <v>5</v>
      </c>
      <c r="W21" s="59">
        <v>6</v>
      </c>
      <c r="X21" s="26">
        <f t="shared" si="4"/>
        <v>27</v>
      </c>
      <c r="Y21" s="63">
        <v>8</v>
      </c>
      <c r="Z21" s="66">
        <v>4</v>
      </c>
      <c r="AA21" s="66">
        <v>8</v>
      </c>
      <c r="AB21" s="66">
        <v>4</v>
      </c>
      <c r="AC21" s="26">
        <f t="shared" si="0"/>
        <v>16</v>
      </c>
      <c r="AD21" s="25">
        <v>2</v>
      </c>
      <c r="AE21" s="28">
        <f t="shared" si="1"/>
        <v>53</v>
      </c>
      <c r="AF21" s="1"/>
      <c r="AG21" s="171"/>
      <c r="AH21" s="10" t="s">
        <v>44</v>
      </c>
      <c r="AI21" s="13"/>
      <c r="AJ21" s="32"/>
      <c r="AK21" s="10"/>
      <c r="AL21" s="10"/>
    </row>
    <row r="22" spans="2:38" ht="19.2" customHeight="1" x14ac:dyDescent="0.3">
      <c r="B22" s="8">
        <v>8</v>
      </c>
      <c r="C22" s="15" t="s">
        <v>45</v>
      </c>
      <c r="D22" s="8"/>
      <c r="E22" s="10"/>
      <c r="F22" s="10"/>
      <c r="G22" s="10"/>
      <c r="H22" s="10"/>
      <c r="I22" s="11"/>
      <c r="J22" s="10">
        <f t="shared" si="2"/>
        <v>0</v>
      </c>
      <c r="K22" s="12"/>
      <c r="L22" s="10"/>
      <c r="M22" s="10"/>
      <c r="N22" s="10"/>
      <c r="O22" s="10">
        <f t="shared" si="3"/>
        <v>0</v>
      </c>
      <c r="P22" s="10"/>
      <c r="Q22" s="13"/>
      <c r="R22" s="16"/>
      <c r="S22" s="56">
        <v>6</v>
      </c>
      <c r="T22" s="57">
        <v>6</v>
      </c>
      <c r="U22" s="57">
        <v>6</v>
      </c>
      <c r="V22" s="57">
        <v>5</v>
      </c>
      <c r="W22" s="59">
        <v>6</v>
      </c>
      <c r="X22" s="26">
        <f t="shared" si="4"/>
        <v>29</v>
      </c>
      <c r="Y22" s="63">
        <v>17</v>
      </c>
      <c r="Z22" s="66">
        <v>8</v>
      </c>
      <c r="AA22" s="66">
        <v>8</v>
      </c>
      <c r="AB22" s="66">
        <v>4</v>
      </c>
      <c r="AC22" s="26">
        <f t="shared" si="0"/>
        <v>20</v>
      </c>
      <c r="AD22" s="25">
        <v>5</v>
      </c>
      <c r="AE22" s="28">
        <f t="shared" si="1"/>
        <v>71</v>
      </c>
      <c r="AF22" s="1"/>
      <c r="AG22" s="170">
        <v>2</v>
      </c>
      <c r="AH22" s="10" t="s">
        <v>16</v>
      </c>
      <c r="AI22" s="13"/>
      <c r="AJ22" s="32"/>
      <c r="AK22" s="10"/>
      <c r="AL22" s="10"/>
    </row>
    <row r="23" spans="2:38" ht="19.2" customHeight="1" x14ac:dyDescent="0.3">
      <c r="B23" s="8">
        <v>9</v>
      </c>
      <c r="C23" s="15" t="s">
        <v>46</v>
      </c>
      <c r="D23" s="8"/>
      <c r="E23" s="10"/>
      <c r="F23" s="10"/>
      <c r="G23" s="10"/>
      <c r="H23" s="10"/>
      <c r="I23" s="11"/>
      <c r="J23" s="10">
        <f t="shared" si="2"/>
        <v>0</v>
      </c>
      <c r="K23" s="12"/>
      <c r="L23" s="10"/>
      <c r="M23" s="10"/>
      <c r="N23" s="10"/>
      <c r="O23" s="10">
        <f t="shared" si="3"/>
        <v>0</v>
      </c>
      <c r="P23" s="10"/>
      <c r="Q23" s="13"/>
      <c r="R23" s="16"/>
      <c r="S23" s="56">
        <v>5</v>
      </c>
      <c r="T23" s="57">
        <v>6</v>
      </c>
      <c r="U23" s="57">
        <v>6</v>
      </c>
      <c r="V23" s="57">
        <v>5</v>
      </c>
      <c r="W23" s="59">
        <v>6</v>
      </c>
      <c r="X23" s="26">
        <f t="shared" si="4"/>
        <v>28</v>
      </c>
      <c r="Y23" s="63">
        <v>11</v>
      </c>
      <c r="Z23" s="66">
        <v>8</v>
      </c>
      <c r="AA23" s="66">
        <v>8</v>
      </c>
      <c r="AB23" s="66">
        <v>4</v>
      </c>
      <c r="AC23" s="26">
        <f t="shared" si="0"/>
        <v>20</v>
      </c>
      <c r="AD23" s="25">
        <v>5</v>
      </c>
      <c r="AE23" s="28">
        <f t="shared" si="1"/>
        <v>64</v>
      </c>
      <c r="AF23" s="1"/>
      <c r="AG23" s="171"/>
      <c r="AH23" s="10" t="s">
        <v>44</v>
      </c>
      <c r="AI23" s="13"/>
      <c r="AJ23" s="32"/>
      <c r="AK23" s="10"/>
      <c r="AL23" s="10"/>
    </row>
    <row r="24" spans="2:38" ht="19.2" customHeight="1" x14ac:dyDescent="0.3">
      <c r="B24" s="8">
        <v>10</v>
      </c>
      <c r="C24" s="15" t="s">
        <v>47</v>
      </c>
      <c r="D24" s="8"/>
      <c r="E24" s="10"/>
      <c r="F24" s="10"/>
      <c r="G24" s="17"/>
      <c r="H24" s="10"/>
      <c r="I24" s="11"/>
      <c r="J24" s="10">
        <f t="shared" si="2"/>
        <v>0</v>
      </c>
      <c r="K24" s="12"/>
      <c r="L24" s="10"/>
      <c r="M24" s="10"/>
      <c r="N24" s="10"/>
      <c r="O24" s="10">
        <f t="shared" si="3"/>
        <v>0</v>
      </c>
      <c r="P24" s="10"/>
      <c r="Q24" s="13"/>
      <c r="R24" s="16"/>
      <c r="S24" s="56">
        <v>5</v>
      </c>
      <c r="T24" s="57">
        <v>5</v>
      </c>
      <c r="U24" s="57">
        <v>5</v>
      </c>
      <c r="V24" s="57">
        <v>5</v>
      </c>
      <c r="W24" s="59">
        <v>6</v>
      </c>
      <c r="X24" s="26">
        <f t="shared" si="4"/>
        <v>26</v>
      </c>
      <c r="Y24" s="63">
        <v>13</v>
      </c>
      <c r="Z24" s="66">
        <v>8</v>
      </c>
      <c r="AA24" s="66">
        <v>8</v>
      </c>
      <c r="AB24" s="66">
        <v>4</v>
      </c>
      <c r="AC24" s="26">
        <f t="shared" si="0"/>
        <v>20</v>
      </c>
      <c r="AD24" s="25">
        <v>5</v>
      </c>
      <c r="AE24" s="28">
        <f t="shared" si="1"/>
        <v>64</v>
      </c>
      <c r="AF24" s="1"/>
      <c r="AG24" s="170">
        <v>3</v>
      </c>
      <c r="AH24" s="10" t="s">
        <v>16</v>
      </c>
      <c r="AI24" s="13"/>
      <c r="AJ24" s="32"/>
      <c r="AK24" s="10"/>
      <c r="AL24" s="10"/>
    </row>
    <row r="25" spans="2:38" ht="19.2" customHeight="1" x14ac:dyDescent="0.3">
      <c r="B25" s="8">
        <v>11</v>
      </c>
      <c r="C25" s="15" t="s">
        <v>48</v>
      </c>
      <c r="D25" s="8"/>
      <c r="E25" s="10"/>
      <c r="F25" s="10"/>
      <c r="G25" s="10"/>
      <c r="H25" s="10"/>
      <c r="I25" s="11"/>
      <c r="J25" s="10">
        <f t="shared" si="2"/>
        <v>0</v>
      </c>
      <c r="K25" s="12"/>
      <c r="L25" s="10"/>
      <c r="M25" s="10"/>
      <c r="N25" s="10"/>
      <c r="O25" s="10">
        <f t="shared" si="3"/>
        <v>0</v>
      </c>
      <c r="P25" s="10"/>
      <c r="Q25" s="13"/>
      <c r="R25" s="16"/>
      <c r="S25" s="56">
        <v>5</v>
      </c>
      <c r="T25" s="57">
        <v>5</v>
      </c>
      <c r="U25" s="57">
        <v>6</v>
      </c>
      <c r="V25" s="57">
        <v>6</v>
      </c>
      <c r="W25" s="59">
        <v>6</v>
      </c>
      <c r="X25" s="26">
        <f t="shared" si="4"/>
        <v>28</v>
      </c>
      <c r="Y25" s="63">
        <v>7</v>
      </c>
      <c r="Z25" s="66">
        <v>8</v>
      </c>
      <c r="AA25" s="66">
        <v>8</v>
      </c>
      <c r="AB25" s="66">
        <v>4</v>
      </c>
      <c r="AC25" s="26">
        <f t="shared" si="0"/>
        <v>20</v>
      </c>
      <c r="AD25" s="25">
        <v>5</v>
      </c>
      <c r="AE25" s="28">
        <f t="shared" si="1"/>
        <v>60</v>
      </c>
      <c r="AF25" s="1"/>
      <c r="AG25" s="171"/>
      <c r="AH25" s="10" t="s">
        <v>44</v>
      </c>
      <c r="AI25" s="13"/>
      <c r="AJ25" s="32"/>
      <c r="AK25" s="10"/>
      <c r="AL25" s="10"/>
    </row>
    <row r="26" spans="2:38" ht="19.2" customHeight="1" x14ac:dyDescent="0.3">
      <c r="B26" s="8">
        <v>12</v>
      </c>
      <c r="C26" s="15" t="s">
        <v>49</v>
      </c>
      <c r="D26" s="8"/>
      <c r="E26" s="10"/>
      <c r="F26" s="10"/>
      <c r="G26" s="17"/>
      <c r="H26" s="17"/>
      <c r="I26" s="11"/>
      <c r="J26" s="10">
        <f t="shared" si="2"/>
        <v>0</v>
      </c>
      <c r="K26" s="12"/>
      <c r="L26" s="10"/>
      <c r="M26" s="10"/>
      <c r="N26" s="10"/>
      <c r="O26" s="10">
        <f t="shared" si="3"/>
        <v>0</v>
      </c>
      <c r="P26" s="10"/>
      <c r="Q26" s="13"/>
      <c r="R26" s="16"/>
      <c r="S26" s="56">
        <v>4</v>
      </c>
      <c r="T26" s="57">
        <v>5</v>
      </c>
      <c r="U26" s="57">
        <v>5</v>
      </c>
      <c r="V26" s="57">
        <v>5</v>
      </c>
      <c r="W26" s="59">
        <v>4</v>
      </c>
      <c r="X26" s="26">
        <f t="shared" si="4"/>
        <v>23</v>
      </c>
      <c r="Y26" s="63">
        <v>12</v>
      </c>
      <c r="Z26" s="66">
        <v>8</v>
      </c>
      <c r="AA26" s="66">
        <v>8</v>
      </c>
      <c r="AB26" s="66">
        <v>2</v>
      </c>
      <c r="AC26" s="26">
        <f t="shared" si="0"/>
        <v>18</v>
      </c>
      <c r="AD26" s="25">
        <v>5</v>
      </c>
      <c r="AE26" s="28">
        <f t="shared" si="1"/>
        <v>58</v>
      </c>
      <c r="AF26" s="1"/>
      <c r="AG26" s="1"/>
      <c r="AH26" s="1"/>
      <c r="AI26" s="1"/>
      <c r="AJ26" s="1"/>
      <c r="AK26" s="1"/>
      <c r="AL26" s="1"/>
    </row>
    <row r="27" spans="2:38" ht="19.2" customHeight="1" x14ac:dyDescent="0.3">
      <c r="B27" s="8">
        <v>13</v>
      </c>
      <c r="C27" s="15" t="s">
        <v>50</v>
      </c>
      <c r="D27" s="8"/>
      <c r="E27" s="10"/>
      <c r="F27" s="10"/>
      <c r="G27" s="10"/>
      <c r="H27" s="10"/>
      <c r="I27" s="11"/>
      <c r="J27" s="10">
        <f t="shared" si="2"/>
        <v>0</v>
      </c>
      <c r="K27" s="12"/>
      <c r="L27" s="10"/>
      <c r="M27" s="10"/>
      <c r="N27" s="10"/>
      <c r="O27" s="10">
        <f t="shared" si="3"/>
        <v>0</v>
      </c>
      <c r="P27" s="10"/>
      <c r="Q27" s="13"/>
      <c r="R27" s="16"/>
      <c r="S27" s="56">
        <v>6</v>
      </c>
      <c r="T27" s="57">
        <v>6</v>
      </c>
      <c r="U27" s="57">
        <v>6</v>
      </c>
      <c r="V27" s="57">
        <v>5</v>
      </c>
      <c r="W27" s="59">
        <v>6</v>
      </c>
      <c r="X27" s="26">
        <f t="shared" si="4"/>
        <v>29</v>
      </c>
      <c r="Y27" s="63">
        <v>9</v>
      </c>
      <c r="Z27" s="66">
        <v>8</v>
      </c>
      <c r="AA27" s="66">
        <v>8</v>
      </c>
      <c r="AB27" s="66">
        <v>4</v>
      </c>
      <c r="AC27" s="26">
        <f t="shared" si="0"/>
        <v>20</v>
      </c>
      <c r="AD27" s="25">
        <v>5</v>
      </c>
      <c r="AE27" s="28">
        <f t="shared" si="1"/>
        <v>63</v>
      </c>
      <c r="AF27" s="1"/>
      <c r="AG27" s="39"/>
      <c r="AH27" s="163" t="s">
        <v>51</v>
      </c>
      <c r="AI27" s="163"/>
      <c r="AJ27" s="163"/>
      <c r="AK27" s="163"/>
      <c r="AL27" s="163"/>
    </row>
    <row r="28" spans="2:38" ht="19.2" customHeight="1" x14ac:dyDescent="0.3">
      <c r="B28" s="8">
        <v>14</v>
      </c>
      <c r="C28" s="15" t="s">
        <v>52</v>
      </c>
      <c r="D28" s="8"/>
      <c r="E28" s="10"/>
      <c r="F28" s="10"/>
      <c r="G28" s="10"/>
      <c r="H28" s="10"/>
      <c r="I28" s="11"/>
      <c r="J28" s="10">
        <f t="shared" si="2"/>
        <v>0</v>
      </c>
      <c r="K28" s="12"/>
      <c r="L28" s="10"/>
      <c r="M28" s="10"/>
      <c r="N28" s="10"/>
      <c r="O28" s="10">
        <f t="shared" si="3"/>
        <v>0</v>
      </c>
      <c r="P28" s="10"/>
      <c r="Q28" s="13"/>
      <c r="R28" s="16"/>
      <c r="S28" s="56">
        <v>5</v>
      </c>
      <c r="T28" s="57">
        <v>5</v>
      </c>
      <c r="U28" s="57">
        <v>5</v>
      </c>
      <c r="V28" s="57">
        <v>4</v>
      </c>
      <c r="W28" s="59">
        <v>6</v>
      </c>
      <c r="X28" s="26">
        <f t="shared" si="4"/>
        <v>25</v>
      </c>
      <c r="Y28" s="63">
        <v>13</v>
      </c>
      <c r="Z28" s="66">
        <v>6</v>
      </c>
      <c r="AA28" s="66">
        <v>8</v>
      </c>
      <c r="AB28" s="66">
        <v>4</v>
      </c>
      <c r="AC28" s="26">
        <f t="shared" si="0"/>
        <v>18</v>
      </c>
      <c r="AD28" s="25">
        <v>5</v>
      </c>
      <c r="AE28" s="28">
        <f t="shared" si="1"/>
        <v>61</v>
      </c>
      <c r="AF28" s="1"/>
      <c r="AH28" s="33" t="s">
        <v>37</v>
      </c>
      <c r="AI28" s="34" t="s">
        <v>38</v>
      </c>
      <c r="AJ28" s="34" t="s">
        <v>39</v>
      </c>
      <c r="AK28" s="34" t="s">
        <v>40</v>
      </c>
      <c r="AL28" s="34" t="s">
        <v>41</v>
      </c>
    </row>
    <row r="29" spans="2:38" ht="19.2" customHeight="1" x14ac:dyDescent="0.3">
      <c r="B29" s="8">
        <v>15</v>
      </c>
      <c r="C29" s="15" t="s">
        <v>53</v>
      </c>
      <c r="D29" s="8"/>
      <c r="E29" s="10"/>
      <c r="F29" s="10"/>
      <c r="G29" s="10"/>
      <c r="H29" s="10"/>
      <c r="I29" s="11"/>
      <c r="J29" s="10">
        <f t="shared" si="2"/>
        <v>0</v>
      </c>
      <c r="K29" s="12"/>
      <c r="L29" s="10"/>
      <c r="M29" s="10"/>
      <c r="N29" s="10"/>
      <c r="O29" s="10">
        <f t="shared" si="3"/>
        <v>0</v>
      </c>
      <c r="P29" s="10"/>
      <c r="Q29" s="13"/>
      <c r="R29" s="16"/>
      <c r="S29" s="56">
        <v>6</v>
      </c>
      <c r="T29" s="57">
        <v>6</v>
      </c>
      <c r="U29" s="57" t="s">
        <v>220</v>
      </c>
      <c r="V29" s="57">
        <v>6</v>
      </c>
      <c r="W29" s="59">
        <v>6</v>
      </c>
      <c r="X29" s="26">
        <f t="shared" si="4"/>
        <v>24</v>
      </c>
      <c r="Y29" s="63">
        <v>17</v>
      </c>
      <c r="Z29" s="66">
        <v>6</v>
      </c>
      <c r="AA29" s="66">
        <v>8</v>
      </c>
      <c r="AB29" s="66">
        <v>4</v>
      </c>
      <c r="AC29" s="26">
        <f t="shared" si="0"/>
        <v>18</v>
      </c>
      <c r="AD29" s="25">
        <v>5</v>
      </c>
      <c r="AE29" s="28">
        <f t="shared" si="1"/>
        <v>64</v>
      </c>
      <c r="AF29" s="1"/>
      <c r="AH29" s="35">
        <v>1</v>
      </c>
      <c r="AI29" s="36"/>
      <c r="AJ29" s="29"/>
      <c r="AK29" s="29"/>
      <c r="AL29" s="36"/>
    </row>
    <row r="30" spans="2:38" ht="19.2" customHeight="1" x14ac:dyDescent="0.3">
      <c r="B30" s="8">
        <v>16</v>
      </c>
      <c r="C30" s="15" t="s">
        <v>54</v>
      </c>
      <c r="D30" s="8"/>
      <c r="E30" s="10"/>
      <c r="F30" s="10"/>
      <c r="G30" s="10"/>
      <c r="H30" s="10"/>
      <c r="I30" s="11"/>
      <c r="J30" s="10">
        <f t="shared" si="2"/>
        <v>0</v>
      </c>
      <c r="K30" s="12"/>
      <c r="L30" s="10"/>
      <c r="M30" s="10"/>
      <c r="N30" s="10"/>
      <c r="O30" s="10">
        <f t="shared" si="3"/>
        <v>0</v>
      </c>
      <c r="P30" s="10"/>
      <c r="Q30" s="13"/>
      <c r="R30" s="16"/>
      <c r="S30" s="56">
        <v>6</v>
      </c>
      <c r="T30" s="57">
        <v>6</v>
      </c>
      <c r="U30" s="57">
        <v>6</v>
      </c>
      <c r="V30" s="57">
        <v>6</v>
      </c>
      <c r="W30" s="59">
        <v>6</v>
      </c>
      <c r="X30" s="26">
        <f t="shared" si="4"/>
        <v>30</v>
      </c>
      <c r="Y30" s="63">
        <v>13</v>
      </c>
      <c r="Z30" s="66">
        <v>8</v>
      </c>
      <c r="AA30" s="66">
        <v>8</v>
      </c>
      <c r="AB30" s="66">
        <v>2</v>
      </c>
      <c r="AC30" s="26">
        <f t="shared" si="0"/>
        <v>18</v>
      </c>
      <c r="AD30" s="25">
        <v>5</v>
      </c>
      <c r="AE30" s="28">
        <f t="shared" si="1"/>
        <v>66</v>
      </c>
      <c r="AF30" s="1"/>
      <c r="AH30" s="35">
        <v>2</v>
      </c>
      <c r="AI30" s="36"/>
      <c r="AJ30" s="29"/>
      <c r="AK30" s="29"/>
      <c r="AL30" s="36"/>
    </row>
    <row r="31" spans="2:38" ht="19.2" customHeight="1" x14ac:dyDescent="0.3">
      <c r="B31" s="8">
        <v>17</v>
      </c>
      <c r="C31" s="15" t="s">
        <v>55</v>
      </c>
      <c r="D31" s="8"/>
      <c r="E31" s="10"/>
      <c r="F31" s="10"/>
      <c r="G31" s="10"/>
      <c r="H31" s="10"/>
      <c r="I31" s="11"/>
      <c r="J31" s="10">
        <f t="shared" si="2"/>
        <v>0</v>
      </c>
      <c r="K31" s="12"/>
      <c r="L31" s="10"/>
      <c r="M31" s="10"/>
      <c r="N31" s="10"/>
      <c r="O31" s="10">
        <f t="shared" si="3"/>
        <v>0</v>
      </c>
      <c r="P31" s="10"/>
      <c r="Q31" s="13"/>
      <c r="R31" s="16"/>
      <c r="S31" s="56">
        <v>6</v>
      </c>
      <c r="T31" s="57">
        <v>6</v>
      </c>
      <c r="U31" s="57">
        <v>6</v>
      </c>
      <c r="V31" s="57">
        <v>6</v>
      </c>
      <c r="W31" s="59">
        <v>6</v>
      </c>
      <c r="X31" s="26">
        <f t="shared" si="4"/>
        <v>30</v>
      </c>
      <c r="Y31" s="63">
        <v>12</v>
      </c>
      <c r="Z31" s="66">
        <v>8</v>
      </c>
      <c r="AA31" s="66">
        <v>8</v>
      </c>
      <c r="AB31" s="66">
        <v>3</v>
      </c>
      <c r="AC31" s="26">
        <f t="shared" si="0"/>
        <v>19</v>
      </c>
      <c r="AD31" s="25">
        <v>5</v>
      </c>
      <c r="AE31" s="28">
        <f t="shared" si="1"/>
        <v>66</v>
      </c>
      <c r="AF31" s="1"/>
      <c r="AH31" s="35">
        <v>3</v>
      </c>
      <c r="AI31" s="36"/>
      <c r="AJ31" s="29"/>
      <c r="AK31" s="29"/>
      <c r="AL31" s="36"/>
    </row>
    <row r="32" spans="2:38" ht="19.2" customHeight="1" x14ac:dyDescent="0.3">
      <c r="B32" s="8">
        <v>18</v>
      </c>
      <c r="C32" s="15" t="s">
        <v>56</v>
      </c>
      <c r="D32" s="8"/>
      <c r="E32" s="10"/>
      <c r="F32" s="10"/>
      <c r="G32" s="10"/>
      <c r="H32" s="10"/>
      <c r="I32" s="11"/>
      <c r="J32" s="10">
        <f t="shared" si="2"/>
        <v>0</v>
      </c>
      <c r="K32" s="12"/>
      <c r="L32" s="10"/>
      <c r="M32" s="10"/>
      <c r="N32" s="10"/>
      <c r="O32" s="10">
        <f t="shared" si="3"/>
        <v>0</v>
      </c>
      <c r="P32" s="10"/>
      <c r="Q32" s="13"/>
      <c r="R32" s="16"/>
      <c r="S32" s="56">
        <v>6</v>
      </c>
      <c r="T32" s="57">
        <v>6</v>
      </c>
      <c r="U32" s="57">
        <v>6</v>
      </c>
      <c r="V32" s="57">
        <v>6</v>
      </c>
      <c r="W32" s="59">
        <v>6</v>
      </c>
      <c r="X32" s="26">
        <f t="shared" si="4"/>
        <v>30</v>
      </c>
      <c r="Y32" s="63">
        <v>16</v>
      </c>
      <c r="Z32" s="66">
        <v>8</v>
      </c>
      <c r="AA32" s="66">
        <v>8</v>
      </c>
      <c r="AB32" s="66">
        <v>4</v>
      </c>
      <c r="AC32" s="26">
        <f t="shared" si="0"/>
        <v>20</v>
      </c>
      <c r="AD32" s="25">
        <v>5</v>
      </c>
      <c r="AE32" s="28">
        <f t="shared" si="1"/>
        <v>71</v>
      </c>
      <c r="AF32" s="1"/>
      <c r="AG32" s="38"/>
      <c r="AH32" s="38"/>
      <c r="AI32" s="38"/>
      <c r="AJ32" s="38"/>
      <c r="AK32" s="1"/>
      <c r="AL32" s="1"/>
    </row>
    <row r="33" spans="2:38" ht="19.2" customHeight="1" x14ac:dyDescent="0.3">
      <c r="B33" s="8">
        <v>19</v>
      </c>
      <c r="C33" s="15" t="s">
        <v>57</v>
      </c>
      <c r="D33" s="8"/>
      <c r="E33" s="10"/>
      <c r="F33" s="10"/>
      <c r="G33" s="10"/>
      <c r="H33" s="17"/>
      <c r="I33" s="11"/>
      <c r="J33" s="10">
        <f t="shared" si="2"/>
        <v>0</v>
      </c>
      <c r="K33" s="12"/>
      <c r="L33" s="10"/>
      <c r="M33" s="10"/>
      <c r="N33" s="10"/>
      <c r="O33" s="10">
        <f t="shared" si="3"/>
        <v>0</v>
      </c>
      <c r="P33" s="10"/>
      <c r="Q33" s="13"/>
      <c r="R33" s="16"/>
      <c r="S33" s="56">
        <v>5</v>
      </c>
      <c r="T33" s="57">
        <v>5</v>
      </c>
      <c r="U33" s="57">
        <v>6</v>
      </c>
      <c r="V33" s="57">
        <v>6</v>
      </c>
      <c r="W33" s="59">
        <v>6</v>
      </c>
      <c r="X33" s="26">
        <f t="shared" si="4"/>
        <v>28</v>
      </c>
      <c r="Y33" s="63">
        <v>14</v>
      </c>
      <c r="Z33" s="66">
        <v>8</v>
      </c>
      <c r="AA33" s="66">
        <v>8</v>
      </c>
      <c r="AB33" s="66">
        <v>4</v>
      </c>
      <c r="AC33" s="26">
        <f t="shared" si="0"/>
        <v>20</v>
      </c>
      <c r="AD33" s="25">
        <v>5</v>
      </c>
      <c r="AE33" s="28">
        <f t="shared" si="1"/>
        <v>67</v>
      </c>
      <c r="AF33" s="1"/>
      <c r="AG33" s="37"/>
      <c r="AH33" s="2"/>
      <c r="AI33" s="2"/>
      <c r="AJ33" s="2"/>
      <c r="AK33" s="1"/>
      <c r="AL33" s="1"/>
    </row>
    <row r="34" spans="2:38" ht="19.2" customHeight="1" x14ac:dyDescent="0.3">
      <c r="B34" s="8">
        <v>20</v>
      </c>
      <c r="C34" s="15" t="s">
        <v>58</v>
      </c>
      <c r="D34" s="8"/>
      <c r="E34" s="10"/>
      <c r="F34" s="10"/>
      <c r="G34" s="10"/>
      <c r="H34" s="17"/>
      <c r="I34" s="11"/>
      <c r="J34" s="10">
        <f t="shared" si="2"/>
        <v>0</v>
      </c>
      <c r="K34" s="12"/>
      <c r="L34" s="10"/>
      <c r="M34" s="10"/>
      <c r="N34" s="10"/>
      <c r="O34" s="10">
        <f t="shared" si="3"/>
        <v>0</v>
      </c>
      <c r="P34" s="10"/>
      <c r="Q34" s="13"/>
      <c r="R34" s="16"/>
      <c r="S34" s="56">
        <v>5</v>
      </c>
      <c r="T34" s="57">
        <v>5</v>
      </c>
      <c r="U34" s="57">
        <v>5</v>
      </c>
      <c r="V34" s="57">
        <v>5</v>
      </c>
      <c r="W34" s="59">
        <v>6</v>
      </c>
      <c r="X34" s="26">
        <f t="shared" si="4"/>
        <v>26</v>
      </c>
      <c r="Y34" s="63">
        <v>14</v>
      </c>
      <c r="Z34" s="66">
        <v>8</v>
      </c>
      <c r="AA34" s="66">
        <v>8</v>
      </c>
      <c r="AB34" s="66">
        <v>4</v>
      </c>
      <c r="AC34" s="26">
        <f t="shared" si="0"/>
        <v>20</v>
      </c>
      <c r="AD34" s="25">
        <v>5</v>
      </c>
      <c r="AE34" s="28">
        <f t="shared" si="1"/>
        <v>65</v>
      </c>
      <c r="AF34" s="1"/>
      <c r="AG34" s="3"/>
      <c r="AH34" s="1"/>
      <c r="AI34" s="1"/>
      <c r="AJ34" s="1"/>
      <c r="AK34" s="1"/>
      <c r="AL34" s="1"/>
    </row>
    <row r="35" spans="2:38" ht="19.2" customHeight="1" x14ac:dyDescent="0.3">
      <c r="B35" s="8">
        <v>21</v>
      </c>
      <c r="C35" s="15" t="s">
        <v>59</v>
      </c>
      <c r="D35" s="8"/>
      <c r="E35" s="10"/>
      <c r="F35" s="17"/>
      <c r="G35" s="10"/>
      <c r="H35" s="17"/>
      <c r="I35" s="11"/>
      <c r="J35" s="10">
        <f t="shared" si="2"/>
        <v>0</v>
      </c>
      <c r="K35" s="12"/>
      <c r="L35" s="10"/>
      <c r="M35" s="10"/>
      <c r="N35" s="10"/>
      <c r="O35" s="10">
        <f t="shared" si="3"/>
        <v>0</v>
      </c>
      <c r="P35" s="10"/>
      <c r="Q35" s="13"/>
      <c r="R35" s="16"/>
      <c r="S35" s="56">
        <v>5</v>
      </c>
      <c r="T35" s="57">
        <v>5</v>
      </c>
      <c r="U35" s="57">
        <v>6</v>
      </c>
      <c r="V35" s="57">
        <v>5</v>
      </c>
      <c r="W35" s="59">
        <v>5</v>
      </c>
      <c r="X35" s="26">
        <f t="shared" si="4"/>
        <v>26</v>
      </c>
      <c r="Y35" s="63">
        <v>14</v>
      </c>
      <c r="Z35" s="66">
        <v>6</v>
      </c>
      <c r="AA35" s="66">
        <v>8</v>
      </c>
      <c r="AB35" s="66">
        <v>4</v>
      </c>
      <c r="AC35" s="26">
        <f t="shared" si="0"/>
        <v>18</v>
      </c>
      <c r="AD35" s="25">
        <v>5</v>
      </c>
      <c r="AE35" s="28">
        <f t="shared" si="1"/>
        <v>63</v>
      </c>
      <c r="AF35" s="1"/>
      <c r="AG35" s="1"/>
      <c r="AH35" s="1"/>
      <c r="AI35" s="1"/>
      <c r="AJ35" s="1"/>
      <c r="AK35" s="1"/>
      <c r="AL35" s="1"/>
    </row>
    <row r="36" spans="2:38" ht="19.2" customHeight="1" x14ac:dyDescent="0.3">
      <c r="B36" s="8">
        <v>22</v>
      </c>
      <c r="C36" s="15" t="s">
        <v>60</v>
      </c>
      <c r="D36" s="8"/>
      <c r="E36" s="10"/>
      <c r="F36" s="10"/>
      <c r="G36" s="10"/>
      <c r="H36" s="10"/>
      <c r="I36" s="11"/>
      <c r="J36" s="10">
        <f t="shared" si="2"/>
        <v>0</v>
      </c>
      <c r="K36" s="12"/>
      <c r="L36" s="10"/>
      <c r="M36" s="10"/>
      <c r="N36" s="10"/>
      <c r="O36" s="10">
        <f t="shared" si="3"/>
        <v>0</v>
      </c>
      <c r="P36" s="10"/>
      <c r="Q36" s="13"/>
      <c r="R36" s="16"/>
      <c r="S36" s="56">
        <v>6</v>
      </c>
      <c r="T36" s="57">
        <v>6</v>
      </c>
      <c r="U36" s="57">
        <v>5</v>
      </c>
      <c r="V36" s="57">
        <v>5</v>
      </c>
      <c r="W36" s="59">
        <v>5</v>
      </c>
      <c r="X36" s="26">
        <f t="shared" si="4"/>
        <v>27</v>
      </c>
      <c r="Y36" s="63">
        <v>10</v>
      </c>
      <c r="Z36" s="66">
        <v>8</v>
      </c>
      <c r="AA36" s="66">
        <v>8</v>
      </c>
      <c r="AB36" s="66">
        <v>4</v>
      </c>
      <c r="AC36" s="26">
        <f t="shared" si="0"/>
        <v>20</v>
      </c>
      <c r="AD36" s="25">
        <v>5</v>
      </c>
      <c r="AE36" s="28">
        <f t="shared" si="1"/>
        <v>62</v>
      </c>
      <c r="AF36" s="1"/>
      <c r="AG36" s="1"/>
      <c r="AH36" s="1"/>
      <c r="AI36" s="1"/>
      <c r="AJ36" s="1"/>
      <c r="AK36" s="1"/>
      <c r="AL36" s="1"/>
    </row>
    <row r="37" spans="2:38" ht="19.2" customHeight="1" x14ac:dyDescent="0.3">
      <c r="B37" s="8">
        <v>23</v>
      </c>
      <c r="C37" s="15" t="s">
        <v>61</v>
      </c>
      <c r="D37" s="8"/>
      <c r="E37" s="10"/>
      <c r="F37" s="10"/>
      <c r="G37" s="10"/>
      <c r="H37" s="10"/>
      <c r="I37" s="11"/>
      <c r="J37" s="10">
        <f t="shared" si="2"/>
        <v>0</v>
      </c>
      <c r="K37" s="12"/>
      <c r="L37" s="10"/>
      <c r="M37" s="10"/>
      <c r="N37" s="10"/>
      <c r="O37" s="10">
        <f t="shared" si="3"/>
        <v>0</v>
      </c>
      <c r="P37" s="10"/>
      <c r="Q37" s="13"/>
      <c r="R37" s="16"/>
      <c r="S37" s="56">
        <v>6</v>
      </c>
      <c r="T37" s="57">
        <v>6</v>
      </c>
      <c r="U37" s="57">
        <v>2</v>
      </c>
      <c r="V37" s="57">
        <v>4</v>
      </c>
      <c r="W37" s="59">
        <v>5</v>
      </c>
      <c r="X37" s="26">
        <f t="shared" si="4"/>
        <v>23</v>
      </c>
      <c r="Y37" s="63">
        <v>12</v>
      </c>
      <c r="Z37" s="66">
        <v>7</v>
      </c>
      <c r="AA37" s="66">
        <v>8</v>
      </c>
      <c r="AB37" s="66">
        <v>4</v>
      </c>
      <c r="AC37" s="26">
        <f t="shared" si="0"/>
        <v>19</v>
      </c>
      <c r="AD37" s="25">
        <v>5</v>
      </c>
      <c r="AE37" s="28">
        <f t="shared" si="1"/>
        <v>59</v>
      </c>
      <c r="AF37" s="1"/>
      <c r="AG37" s="1"/>
      <c r="AH37" s="1"/>
      <c r="AI37" s="1"/>
      <c r="AJ37" s="1"/>
      <c r="AK37" s="1"/>
      <c r="AL37" s="1"/>
    </row>
    <row r="38" spans="2:38" ht="19.2" customHeight="1" x14ac:dyDescent="0.3">
      <c r="B38" s="8">
        <v>24</v>
      </c>
      <c r="C38" s="15" t="s">
        <v>62</v>
      </c>
      <c r="D38" s="8"/>
      <c r="E38" s="10"/>
      <c r="F38" s="10"/>
      <c r="G38" s="10"/>
      <c r="H38" s="10"/>
      <c r="I38" s="11"/>
      <c r="J38" s="10">
        <f t="shared" si="2"/>
        <v>0</v>
      </c>
      <c r="K38" s="12"/>
      <c r="L38" s="10"/>
      <c r="M38" s="10"/>
      <c r="N38" s="10"/>
      <c r="O38" s="10">
        <f t="shared" si="3"/>
        <v>0</v>
      </c>
      <c r="P38" s="10"/>
      <c r="Q38" s="13"/>
      <c r="R38" s="16"/>
      <c r="S38" s="56">
        <v>4</v>
      </c>
      <c r="T38" s="57">
        <v>5</v>
      </c>
      <c r="U38" s="57">
        <v>6</v>
      </c>
      <c r="V38" s="57">
        <v>4</v>
      </c>
      <c r="W38" s="59">
        <v>6</v>
      </c>
      <c r="X38" s="26">
        <f t="shared" si="4"/>
        <v>25</v>
      </c>
      <c r="Y38" s="63">
        <v>16</v>
      </c>
      <c r="Z38" s="66">
        <v>6</v>
      </c>
      <c r="AA38" s="66">
        <v>3</v>
      </c>
      <c r="AB38" s="66">
        <v>4</v>
      </c>
      <c r="AC38" s="26">
        <f t="shared" si="0"/>
        <v>13</v>
      </c>
      <c r="AD38" s="25">
        <v>5</v>
      </c>
      <c r="AE38" s="28">
        <f t="shared" si="1"/>
        <v>59</v>
      </c>
      <c r="AF38" s="1"/>
      <c r="AG38" s="1"/>
      <c r="AH38" s="1"/>
      <c r="AI38" s="1"/>
      <c r="AJ38" s="1"/>
      <c r="AK38" s="1"/>
      <c r="AL38" s="1"/>
    </row>
    <row r="39" spans="2:38" ht="19.2" customHeight="1" x14ac:dyDescent="0.3">
      <c r="B39" s="8">
        <v>25</v>
      </c>
      <c r="C39" s="15" t="s">
        <v>63</v>
      </c>
      <c r="D39" s="8"/>
      <c r="E39" s="10"/>
      <c r="F39" s="10"/>
      <c r="G39" s="10"/>
      <c r="H39" s="17"/>
      <c r="I39" s="11"/>
      <c r="J39" s="10">
        <f t="shared" si="2"/>
        <v>0</v>
      </c>
      <c r="K39" s="12"/>
      <c r="L39" s="10"/>
      <c r="M39" s="10"/>
      <c r="N39" s="10"/>
      <c r="O39" s="10">
        <f t="shared" si="3"/>
        <v>0</v>
      </c>
      <c r="P39" s="10"/>
      <c r="Q39" s="13"/>
      <c r="R39" s="16"/>
      <c r="S39" s="56">
        <v>1</v>
      </c>
      <c r="T39" s="57">
        <v>4</v>
      </c>
      <c r="U39" s="57">
        <v>4</v>
      </c>
      <c r="V39" s="57">
        <v>4</v>
      </c>
      <c r="W39" s="59">
        <v>3</v>
      </c>
      <c r="X39" s="26">
        <f t="shared" si="4"/>
        <v>16</v>
      </c>
      <c r="Y39" s="63">
        <v>10</v>
      </c>
      <c r="Z39" s="66">
        <v>4</v>
      </c>
      <c r="AA39" s="66">
        <v>3</v>
      </c>
      <c r="AB39" s="66">
        <v>0</v>
      </c>
      <c r="AC39" s="26">
        <f t="shared" si="0"/>
        <v>7</v>
      </c>
      <c r="AD39" s="25">
        <v>5</v>
      </c>
      <c r="AE39" s="28">
        <f t="shared" si="1"/>
        <v>38</v>
      </c>
      <c r="AF39" s="1"/>
      <c r="AG39" s="1"/>
      <c r="AH39" s="1"/>
      <c r="AI39" s="1"/>
      <c r="AJ39" s="1"/>
      <c r="AK39" s="1"/>
      <c r="AL39" s="1"/>
    </row>
    <row r="40" spans="2:38" ht="19.2" customHeight="1" x14ac:dyDescent="0.3">
      <c r="B40" s="8">
        <v>26</v>
      </c>
      <c r="C40" s="15" t="s">
        <v>64</v>
      </c>
      <c r="D40" s="8"/>
      <c r="E40" s="10"/>
      <c r="F40" s="10"/>
      <c r="G40" s="17"/>
      <c r="H40" s="17"/>
      <c r="I40" s="11"/>
      <c r="J40" s="10">
        <f t="shared" si="2"/>
        <v>0</v>
      </c>
      <c r="K40" s="12"/>
      <c r="L40" s="10"/>
      <c r="M40" s="10"/>
      <c r="N40" s="10"/>
      <c r="O40" s="10">
        <f t="shared" si="3"/>
        <v>0</v>
      </c>
      <c r="P40" s="10"/>
      <c r="Q40" s="13"/>
      <c r="R40" s="16"/>
      <c r="S40" s="56">
        <v>4</v>
      </c>
      <c r="T40" s="57">
        <v>4</v>
      </c>
      <c r="U40" s="57">
        <v>2</v>
      </c>
      <c r="V40" s="57">
        <v>4</v>
      </c>
      <c r="W40" s="59">
        <v>6</v>
      </c>
      <c r="X40" s="26">
        <f t="shared" si="4"/>
        <v>20</v>
      </c>
      <c r="Y40" s="63">
        <v>16</v>
      </c>
      <c r="Z40" s="66">
        <v>4</v>
      </c>
      <c r="AA40" s="66">
        <v>4</v>
      </c>
      <c r="AB40" s="66">
        <v>2</v>
      </c>
      <c r="AC40" s="26">
        <f t="shared" si="0"/>
        <v>10</v>
      </c>
      <c r="AD40" s="25">
        <v>5</v>
      </c>
      <c r="AE40" s="28">
        <f t="shared" si="1"/>
        <v>51</v>
      </c>
      <c r="AF40" s="1"/>
      <c r="AG40" s="1"/>
      <c r="AH40" s="1"/>
      <c r="AI40" s="1"/>
      <c r="AJ40" s="1"/>
      <c r="AK40" s="1"/>
      <c r="AL40" s="1"/>
    </row>
    <row r="41" spans="2:38" ht="19.2" customHeight="1" x14ac:dyDescent="0.3">
      <c r="B41" s="8">
        <v>27</v>
      </c>
      <c r="C41" s="15" t="s">
        <v>65</v>
      </c>
      <c r="D41" s="8"/>
      <c r="E41" s="10"/>
      <c r="F41" s="10"/>
      <c r="G41" s="10"/>
      <c r="H41" s="10"/>
      <c r="I41" s="11"/>
      <c r="J41" s="10">
        <f t="shared" si="2"/>
        <v>0</v>
      </c>
      <c r="K41" s="12"/>
      <c r="L41" s="10"/>
      <c r="M41" s="10"/>
      <c r="N41" s="10"/>
      <c r="O41" s="10">
        <f t="shared" si="3"/>
        <v>0</v>
      </c>
      <c r="P41" s="10"/>
      <c r="Q41" s="13"/>
      <c r="R41" s="16"/>
      <c r="S41" s="56">
        <v>6</v>
      </c>
      <c r="T41" s="57">
        <v>5</v>
      </c>
      <c r="U41" s="57">
        <v>6</v>
      </c>
      <c r="V41" s="57">
        <v>5</v>
      </c>
      <c r="W41" s="59">
        <v>6</v>
      </c>
      <c r="X41" s="26">
        <f t="shared" si="4"/>
        <v>28</v>
      </c>
      <c r="Y41" s="63">
        <v>15</v>
      </c>
      <c r="Z41" s="66">
        <v>4</v>
      </c>
      <c r="AA41" s="66">
        <v>8</v>
      </c>
      <c r="AB41" s="66">
        <v>2</v>
      </c>
      <c r="AC41" s="26">
        <f t="shared" si="0"/>
        <v>14</v>
      </c>
      <c r="AD41" s="25">
        <v>5</v>
      </c>
      <c r="AE41" s="28">
        <f t="shared" si="1"/>
        <v>62</v>
      </c>
      <c r="AF41" s="1"/>
      <c r="AG41" s="1"/>
      <c r="AH41" s="1"/>
      <c r="AI41" s="1"/>
      <c r="AJ41" s="1"/>
      <c r="AK41" s="1"/>
      <c r="AL41" s="1"/>
    </row>
    <row r="42" spans="2:38" ht="19.2" customHeight="1" x14ac:dyDescent="0.3">
      <c r="B42" s="8">
        <v>28</v>
      </c>
      <c r="C42" s="15" t="s">
        <v>66</v>
      </c>
      <c r="D42" s="8"/>
      <c r="E42" s="10"/>
      <c r="F42" s="10"/>
      <c r="G42" s="10"/>
      <c r="H42" s="10"/>
      <c r="I42" s="11"/>
      <c r="J42" s="10">
        <f t="shared" si="2"/>
        <v>0</v>
      </c>
      <c r="K42" s="12"/>
      <c r="L42" s="10"/>
      <c r="M42" s="10"/>
      <c r="N42" s="10"/>
      <c r="O42" s="10">
        <f t="shared" si="3"/>
        <v>0</v>
      </c>
      <c r="P42" s="10"/>
      <c r="Q42" s="13"/>
      <c r="R42" s="16"/>
      <c r="S42" s="56">
        <v>4</v>
      </c>
      <c r="T42" s="57">
        <v>6</v>
      </c>
      <c r="U42" s="57">
        <v>5</v>
      </c>
      <c r="V42" s="57">
        <v>6</v>
      </c>
      <c r="W42" s="59">
        <v>6</v>
      </c>
      <c r="X42" s="26">
        <f t="shared" si="4"/>
        <v>27</v>
      </c>
      <c r="Y42" s="63">
        <v>9</v>
      </c>
      <c r="Z42" s="66">
        <v>6</v>
      </c>
      <c r="AA42" s="66">
        <v>8</v>
      </c>
      <c r="AB42" s="66">
        <v>3</v>
      </c>
      <c r="AC42" s="26">
        <f t="shared" si="0"/>
        <v>17</v>
      </c>
      <c r="AD42" s="25">
        <v>5</v>
      </c>
      <c r="AE42" s="28">
        <f t="shared" si="1"/>
        <v>58</v>
      </c>
      <c r="AF42" s="1"/>
      <c r="AG42" s="1"/>
      <c r="AH42" s="1"/>
      <c r="AI42" s="1"/>
      <c r="AJ42" s="1"/>
      <c r="AK42" s="1"/>
      <c r="AL42" s="1"/>
    </row>
    <row r="43" spans="2:38" ht="19.2" customHeight="1" x14ac:dyDescent="0.3">
      <c r="B43" s="8">
        <v>29</v>
      </c>
      <c r="C43" s="15" t="s">
        <v>67</v>
      </c>
      <c r="D43" s="8"/>
      <c r="E43" s="10"/>
      <c r="F43" s="10"/>
      <c r="G43" s="10"/>
      <c r="H43" s="10"/>
      <c r="I43" s="11"/>
      <c r="J43" s="10">
        <f t="shared" si="2"/>
        <v>0</v>
      </c>
      <c r="K43" s="12"/>
      <c r="L43" s="10"/>
      <c r="M43" s="10"/>
      <c r="N43" s="10"/>
      <c r="O43" s="10">
        <f t="shared" si="3"/>
        <v>0</v>
      </c>
      <c r="P43" s="10"/>
      <c r="Q43" s="13"/>
      <c r="R43" s="16"/>
      <c r="S43" s="56">
        <v>4</v>
      </c>
      <c r="T43" s="57">
        <v>6</v>
      </c>
      <c r="U43" s="57">
        <v>6</v>
      </c>
      <c r="V43" s="57">
        <v>5</v>
      </c>
      <c r="W43" s="59">
        <v>6</v>
      </c>
      <c r="X43" s="26">
        <f t="shared" si="4"/>
        <v>27</v>
      </c>
      <c r="Y43" s="63">
        <v>12</v>
      </c>
      <c r="Z43" s="66">
        <v>8</v>
      </c>
      <c r="AA43" s="66">
        <v>8</v>
      </c>
      <c r="AB43" s="66">
        <v>4</v>
      </c>
      <c r="AC43" s="26">
        <f t="shared" si="0"/>
        <v>20</v>
      </c>
      <c r="AD43" s="25">
        <v>5</v>
      </c>
      <c r="AE43" s="28">
        <f t="shared" si="1"/>
        <v>64</v>
      </c>
      <c r="AF43" s="1"/>
      <c r="AG43" s="1"/>
      <c r="AH43" s="1"/>
      <c r="AI43" s="1"/>
      <c r="AJ43" s="1"/>
      <c r="AK43" s="1"/>
      <c r="AL43" s="1"/>
    </row>
    <row r="44" spans="2:38" ht="19.2" customHeight="1" x14ac:dyDescent="0.3">
      <c r="B44" s="8">
        <v>30</v>
      </c>
      <c r="C44" s="15" t="s">
        <v>68</v>
      </c>
      <c r="D44" s="8"/>
      <c r="E44" s="10"/>
      <c r="F44" s="10"/>
      <c r="G44" s="10"/>
      <c r="H44" s="10"/>
      <c r="I44" s="11"/>
      <c r="J44" s="10">
        <f t="shared" si="2"/>
        <v>0</v>
      </c>
      <c r="K44" s="12"/>
      <c r="L44" s="10"/>
      <c r="M44" s="10"/>
      <c r="N44" s="10"/>
      <c r="O44" s="10">
        <f t="shared" si="3"/>
        <v>0</v>
      </c>
      <c r="P44" s="10"/>
      <c r="Q44" s="13"/>
      <c r="R44" s="16"/>
      <c r="S44" s="56">
        <v>5</v>
      </c>
      <c r="T44" s="57">
        <v>5</v>
      </c>
      <c r="U44" s="57">
        <v>5</v>
      </c>
      <c r="V44" s="57">
        <v>5</v>
      </c>
      <c r="W44" s="59">
        <v>6</v>
      </c>
      <c r="X44" s="26">
        <f t="shared" si="4"/>
        <v>26</v>
      </c>
      <c r="Y44" s="63">
        <v>12</v>
      </c>
      <c r="Z44" s="66">
        <v>8</v>
      </c>
      <c r="AA44" s="66">
        <v>8</v>
      </c>
      <c r="AB44" s="66">
        <v>4</v>
      </c>
      <c r="AC44" s="26">
        <f t="shared" si="0"/>
        <v>20</v>
      </c>
      <c r="AD44" s="25">
        <v>5</v>
      </c>
      <c r="AE44" s="28">
        <f t="shared" si="1"/>
        <v>63</v>
      </c>
      <c r="AF44" s="1"/>
      <c r="AG44" s="1"/>
      <c r="AH44" s="1"/>
      <c r="AI44" s="1"/>
      <c r="AJ44" s="1"/>
      <c r="AK44" s="1"/>
      <c r="AL44" s="1"/>
    </row>
    <row r="45" spans="2:38" ht="19.2" customHeight="1" x14ac:dyDescent="0.3">
      <c r="B45" s="8">
        <v>31</v>
      </c>
      <c r="C45" s="15" t="s">
        <v>69</v>
      </c>
      <c r="D45" s="8"/>
      <c r="E45" s="10"/>
      <c r="F45" s="10"/>
      <c r="G45" s="17"/>
      <c r="H45" s="17"/>
      <c r="I45" s="11"/>
      <c r="J45" s="10">
        <f t="shared" si="2"/>
        <v>0</v>
      </c>
      <c r="K45" s="12"/>
      <c r="L45" s="10"/>
      <c r="M45" s="10"/>
      <c r="N45" s="10"/>
      <c r="O45" s="10">
        <f t="shared" si="3"/>
        <v>0</v>
      </c>
      <c r="P45" s="10"/>
      <c r="Q45" s="13"/>
      <c r="R45" s="16"/>
      <c r="S45" s="56">
        <v>4</v>
      </c>
      <c r="T45" s="57">
        <v>5</v>
      </c>
      <c r="U45" s="57">
        <v>5</v>
      </c>
      <c r="V45" s="57">
        <v>4</v>
      </c>
      <c r="W45" s="59">
        <v>6</v>
      </c>
      <c r="X45" s="26">
        <f t="shared" si="4"/>
        <v>24</v>
      </c>
      <c r="Y45" s="63">
        <v>17</v>
      </c>
      <c r="Z45" s="66">
        <v>7</v>
      </c>
      <c r="AA45" s="66">
        <v>8</v>
      </c>
      <c r="AB45" s="66">
        <v>3</v>
      </c>
      <c r="AC45" s="26">
        <f t="shared" si="0"/>
        <v>18</v>
      </c>
      <c r="AD45" s="25">
        <v>5</v>
      </c>
      <c r="AE45" s="28">
        <f t="shared" si="1"/>
        <v>64</v>
      </c>
      <c r="AF45" s="1"/>
      <c r="AG45" s="1"/>
      <c r="AH45" s="1"/>
      <c r="AI45" s="1"/>
      <c r="AJ45" s="1"/>
      <c r="AK45" s="1"/>
      <c r="AL45" s="1"/>
    </row>
    <row r="46" spans="2:38" ht="19.2" customHeight="1" x14ac:dyDescent="0.3">
      <c r="B46" s="8">
        <v>32</v>
      </c>
      <c r="C46" s="15" t="s">
        <v>70</v>
      </c>
      <c r="D46" s="8"/>
      <c r="E46" s="10"/>
      <c r="F46" s="10"/>
      <c r="G46" s="10"/>
      <c r="H46" s="10"/>
      <c r="I46" s="11"/>
      <c r="J46" s="10">
        <f t="shared" si="2"/>
        <v>0</v>
      </c>
      <c r="K46" s="12"/>
      <c r="L46" s="10"/>
      <c r="M46" s="10"/>
      <c r="N46" s="10"/>
      <c r="O46" s="10">
        <f t="shared" si="3"/>
        <v>0</v>
      </c>
      <c r="P46" s="10"/>
      <c r="Q46" s="13"/>
      <c r="R46" s="16"/>
      <c r="S46" s="56">
        <v>6</v>
      </c>
      <c r="T46" s="57">
        <v>4</v>
      </c>
      <c r="U46" s="57">
        <v>5</v>
      </c>
      <c r="V46" s="57">
        <v>5</v>
      </c>
      <c r="W46" s="59">
        <v>6</v>
      </c>
      <c r="X46" s="26">
        <f t="shared" si="4"/>
        <v>26</v>
      </c>
      <c r="Y46" s="63">
        <v>14</v>
      </c>
      <c r="Z46" s="66">
        <v>7</v>
      </c>
      <c r="AA46" s="66">
        <v>4</v>
      </c>
      <c r="AB46" s="66">
        <v>4</v>
      </c>
      <c r="AC46" s="26">
        <f t="shared" si="0"/>
        <v>15</v>
      </c>
      <c r="AD46" s="25">
        <v>5</v>
      </c>
      <c r="AE46" s="28">
        <f t="shared" si="1"/>
        <v>60</v>
      </c>
      <c r="AF46" s="1"/>
      <c r="AG46" s="1"/>
      <c r="AH46" s="1"/>
      <c r="AI46" s="1"/>
      <c r="AJ46" s="1"/>
      <c r="AK46" s="1"/>
      <c r="AL46" s="1"/>
    </row>
    <row r="47" spans="2:38" ht="19.2" customHeight="1" x14ac:dyDescent="0.3">
      <c r="B47" s="8">
        <v>33</v>
      </c>
      <c r="C47" s="15" t="s">
        <v>71</v>
      </c>
      <c r="D47" s="8"/>
      <c r="E47" s="10"/>
      <c r="F47" s="17"/>
      <c r="G47" s="17"/>
      <c r="H47" s="10"/>
      <c r="I47" s="11"/>
      <c r="J47" s="10">
        <f t="shared" si="2"/>
        <v>0</v>
      </c>
      <c r="K47" s="12"/>
      <c r="L47" s="10"/>
      <c r="M47" s="10"/>
      <c r="N47" s="10"/>
      <c r="O47" s="10">
        <f t="shared" si="3"/>
        <v>0</v>
      </c>
      <c r="P47" s="10"/>
      <c r="Q47" s="13"/>
      <c r="R47" s="16"/>
      <c r="S47" s="56">
        <v>6</v>
      </c>
      <c r="T47" s="57">
        <v>4</v>
      </c>
      <c r="U47" s="57">
        <v>5</v>
      </c>
      <c r="V47" s="57">
        <v>5</v>
      </c>
      <c r="W47" s="59">
        <v>6</v>
      </c>
      <c r="X47" s="26">
        <f t="shared" si="4"/>
        <v>26</v>
      </c>
      <c r="Y47" s="63">
        <v>17</v>
      </c>
      <c r="Z47" s="66">
        <v>6</v>
      </c>
      <c r="AA47" s="66">
        <v>4</v>
      </c>
      <c r="AB47" s="66">
        <v>3</v>
      </c>
      <c r="AC47" s="26">
        <f t="shared" ref="AC47:AC78" si="5">SUM(Z47:AB47)</f>
        <v>13</v>
      </c>
      <c r="AD47" s="25">
        <v>5</v>
      </c>
      <c r="AE47" s="28">
        <f t="shared" ref="AE47:AE78" si="6">SUM(X47,Y47,AC47,AD47)</f>
        <v>61</v>
      </c>
      <c r="AF47" s="1"/>
      <c r="AG47" s="1"/>
      <c r="AH47" s="1"/>
      <c r="AI47" s="1"/>
      <c r="AJ47" s="1"/>
      <c r="AK47" s="1"/>
      <c r="AL47" s="1"/>
    </row>
    <row r="48" spans="2:38" ht="19.2" customHeight="1" x14ac:dyDescent="0.3">
      <c r="B48" s="8">
        <v>34</v>
      </c>
      <c r="C48" s="15" t="s">
        <v>72</v>
      </c>
      <c r="D48" s="8"/>
      <c r="E48" s="10"/>
      <c r="F48" s="10"/>
      <c r="G48" s="10"/>
      <c r="H48" s="10"/>
      <c r="I48" s="11"/>
      <c r="J48" s="10">
        <f t="shared" si="2"/>
        <v>0</v>
      </c>
      <c r="K48" s="12"/>
      <c r="L48" s="10"/>
      <c r="M48" s="10"/>
      <c r="N48" s="10"/>
      <c r="O48" s="10">
        <f t="shared" si="3"/>
        <v>0</v>
      </c>
      <c r="P48" s="10"/>
      <c r="Q48" s="13"/>
      <c r="R48" s="16"/>
      <c r="S48" s="56">
        <v>6</v>
      </c>
      <c r="T48" s="57" t="s">
        <v>220</v>
      </c>
      <c r="U48" s="57">
        <v>3</v>
      </c>
      <c r="V48" s="57">
        <v>3</v>
      </c>
      <c r="W48" s="59">
        <v>3</v>
      </c>
      <c r="X48" s="26">
        <f t="shared" si="4"/>
        <v>15</v>
      </c>
      <c r="Y48" s="63">
        <v>17</v>
      </c>
      <c r="Z48" s="66">
        <v>8</v>
      </c>
      <c r="AA48" s="66">
        <v>6</v>
      </c>
      <c r="AB48" s="66" t="s">
        <v>220</v>
      </c>
      <c r="AC48" s="26">
        <f t="shared" si="5"/>
        <v>14</v>
      </c>
      <c r="AD48" s="25">
        <v>5</v>
      </c>
      <c r="AE48" s="28">
        <f t="shared" si="6"/>
        <v>51</v>
      </c>
      <c r="AF48" s="1"/>
      <c r="AG48" s="1"/>
      <c r="AH48" s="1"/>
      <c r="AI48" s="1"/>
      <c r="AJ48" s="1"/>
      <c r="AK48" s="1"/>
      <c r="AL48" s="1"/>
    </row>
    <row r="49" spans="2:38" ht="19.2" customHeight="1" x14ac:dyDescent="0.3">
      <c r="B49" s="8">
        <v>35</v>
      </c>
      <c r="C49" s="15" t="s">
        <v>73</v>
      </c>
      <c r="D49" s="8"/>
      <c r="E49" s="10"/>
      <c r="F49" s="10"/>
      <c r="G49" s="10"/>
      <c r="H49" s="10"/>
      <c r="I49" s="11"/>
      <c r="J49" s="10">
        <f t="shared" si="2"/>
        <v>0</v>
      </c>
      <c r="K49" s="12"/>
      <c r="L49" s="10"/>
      <c r="M49" s="10"/>
      <c r="N49" s="10"/>
      <c r="O49" s="10">
        <f t="shared" si="3"/>
        <v>0</v>
      </c>
      <c r="P49" s="10"/>
      <c r="Q49" s="13"/>
      <c r="R49" s="16"/>
      <c r="S49" s="56">
        <v>5</v>
      </c>
      <c r="T49" s="57">
        <v>6</v>
      </c>
      <c r="U49" s="57">
        <v>6</v>
      </c>
      <c r="V49" s="57">
        <v>6</v>
      </c>
      <c r="W49" s="59">
        <v>6</v>
      </c>
      <c r="X49" s="26">
        <f t="shared" si="4"/>
        <v>29</v>
      </c>
      <c r="Y49" s="63">
        <v>8</v>
      </c>
      <c r="Z49" s="66">
        <v>7</v>
      </c>
      <c r="AA49" s="66">
        <v>8</v>
      </c>
      <c r="AB49" s="66">
        <v>4</v>
      </c>
      <c r="AC49" s="26">
        <f t="shared" si="5"/>
        <v>19</v>
      </c>
      <c r="AD49" s="25">
        <v>5</v>
      </c>
      <c r="AE49" s="28">
        <f t="shared" si="6"/>
        <v>61</v>
      </c>
      <c r="AF49" s="1"/>
      <c r="AG49" s="1"/>
      <c r="AH49" s="1"/>
      <c r="AI49" s="1"/>
      <c r="AJ49" s="1"/>
      <c r="AK49" s="1"/>
      <c r="AL49" s="1"/>
    </row>
    <row r="50" spans="2:38" ht="19.2" customHeight="1" x14ac:dyDescent="0.3">
      <c r="B50" s="8">
        <v>36</v>
      </c>
      <c r="C50" s="15" t="s">
        <v>74</v>
      </c>
      <c r="D50" s="8"/>
      <c r="E50" s="10"/>
      <c r="F50" s="10"/>
      <c r="G50" s="10"/>
      <c r="H50" s="17"/>
      <c r="I50" s="11"/>
      <c r="J50" s="10">
        <f t="shared" si="2"/>
        <v>0</v>
      </c>
      <c r="K50" s="12"/>
      <c r="L50" s="10"/>
      <c r="M50" s="10"/>
      <c r="N50" s="10"/>
      <c r="O50" s="10">
        <f t="shared" si="3"/>
        <v>0</v>
      </c>
      <c r="P50" s="10"/>
      <c r="Q50" s="13"/>
      <c r="R50" s="16"/>
      <c r="S50" s="56">
        <v>5</v>
      </c>
      <c r="T50" s="57">
        <v>6</v>
      </c>
      <c r="U50" s="57">
        <v>6</v>
      </c>
      <c r="V50" s="57">
        <v>6</v>
      </c>
      <c r="W50" s="59">
        <v>6</v>
      </c>
      <c r="X50" s="26">
        <f t="shared" si="4"/>
        <v>29</v>
      </c>
      <c r="Y50" s="63">
        <v>15</v>
      </c>
      <c r="Z50" s="66">
        <v>6</v>
      </c>
      <c r="AA50" s="66">
        <v>8</v>
      </c>
      <c r="AB50" s="66">
        <v>3</v>
      </c>
      <c r="AC50" s="26">
        <f t="shared" si="5"/>
        <v>17</v>
      </c>
      <c r="AD50" s="25">
        <v>5</v>
      </c>
      <c r="AE50" s="28">
        <f t="shared" si="6"/>
        <v>66</v>
      </c>
      <c r="AF50" s="1"/>
      <c r="AG50" s="1"/>
      <c r="AH50" s="1"/>
      <c r="AI50" s="1"/>
      <c r="AJ50" s="1"/>
      <c r="AK50" s="1"/>
      <c r="AL50" s="1"/>
    </row>
    <row r="51" spans="2:38" ht="19.2" customHeight="1" x14ac:dyDescent="0.3">
      <c r="B51" s="8">
        <v>37</v>
      </c>
      <c r="C51" s="15" t="s">
        <v>75</v>
      </c>
      <c r="D51" s="8"/>
      <c r="E51" s="10"/>
      <c r="F51" s="10"/>
      <c r="G51" s="10"/>
      <c r="H51" s="10"/>
      <c r="I51" s="11"/>
      <c r="J51" s="10">
        <f t="shared" si="2"/>
        <v>0</v>
      </c>
      <c r="K51" s="12"/>
      <c r="L51" s="10"/>
      <c r="M51" s="10"/>
      <c r="N51" s="10"/>
      <c r="O51" s="10">
        <f t="shared" si="3"/>
        <v>0</v>
      </c>
      <c r="P51" s="10"/>
      <c r="Q51" s="13"/>
      <c r="R51" s="16"/>
      <c r="S51" s="56">
        <v>4</v>
      </c>
      <c r="T51" s="57">
        <v>5</v>
      </c>
      <c r="U51" s="57">
        <v>4</v>
      </c>
      <c r="V51" s="57">
        <v>5</v>
      </c>
      <c r="W51" s="59">
        <v>6</v>
      </c>
      <c r="X51" s="26">
        <f t="shared" si="4"/>
        <v>24</v>
      </c>
      <c r="Y51" s="63">
        <v>13</v>
      </c>
      <c r="Z51" s="66">
        <v>8</v>
      </c>
      <c r="AA51" s="66">
        <v>8</v>
      </c>
      <c r="AB51" s="66">
        <v>4</v>
      </c>
      <c r="AC51" s="26">
        <f t="shared" si="5"/>
        <v>20</v>
      </c>
      <c r="AD51" s="25">
        <v>5</v>
      </c>
      <c r="AE51" s="28">
        <f t="shared" si="6"/>
        <v>62</v>
      </c>
      <c r="AF51" s="1"/>
      <c r="AG51" s="1"/>
      <c r="AH51" s="1"/>
      <c r="AI51" s="1"/>
      <c r="AJ51" s="1"/>
      <c r="AK51" s="1"/>
      <c r="AL51" s="1"/>
    </row>
    <row r="52" spans="2:38" ht="19.2" customHeight="1" x14ac:dyDescent="0.3">
      <c r="B52" s="8">
        <v>38</v>
      </c>
      <c r="C52" s="15" t="s">
        <v>76</v>
      </c>
      <c r="D52" s="8"/>
      <c r="E52" s="10"/>
      <c r="F52" s="10"/>
      <c r="G52" s="10"/>
      <c r="H52" s="10"/>
      <c r="I52" s="11"/>
      <c r="J52" s="10">
        <f t="shared" si="2"/>
        <v>0</v>
      </c>
      <c r="K52" s="12"/>
      <c r="L52" s="10"/>
      <c r="M52" s="10"/>
      <c r="N52" s="10"/>
      <c r="O52" s="10">
        <f t="shared" si="3"/>
        <v>0</v>
      </c>
      <c r="P52" s="10"/>
      <c r="Q52" s="13"/>
      <c r="R52" s="16"/>
      <c r="S52" s="56">
        <v>5</v>
      </c>
      <c r="T52" s="57">
        <v>5</v>
      </c>
      <c r="U52" s="57">
        <v>6</v>
      </c>
      <c r="V52" s="57">
        <v>5</v>
      </c>
      <c r="W52" s="59">
        <v>6</v>
      </c>
      <c r="X52" s="26">
        <f t="shared" si="4"/>
        <v>27</v>
      </c>
      <c r="Y52" s="63">
        <v>2</v>
      </c>
      <c r="Z52" s="66">
        <v>6</v>
      </c>
      <c r="AA52" s="66">
        <v>3</v>
      </c>
      <c r="AB52" s="66">
        <v>4</v>
      </c>
      <c r="AC52" s="26">
        <f t="shared" si="5"/>
        <v>13</v>
      </c>
      <c r="AD52" s="25">
        <v>5</v>
      </c>
      <c r="AE52" s="28">
        <f t="shared" si="6"/>
        <v>47</v>
      </c>
      <c r="AF52" s="1"/>
      <c r="AG52" s="1"/>
      <c r="AH52" s="1"/>
      <c r="AI52" s="1"/>
      <c r="AJ52" s="1"/>
      <c r="AK52" s="1"/>
      <c r="AL52" s="1"/>
    </row>
    <row r="53" spans="2:38" ht="19.2" customHeight="1" x14ac:dyDescent="0.3">
      <c r="B53" s="8">
        <v>39</v>
      </c>
      <c r="C53" s="15" t="s">
        <v>77</v>
      </c>
      <c r="D53" s="8"/>
      <c r="E53" s="10"/>
      <c r="F53" s="10"/>
      <c r="G53" s="10"/>
      <c r="H53" s="10"/>
      <c r="I53" s="11"/>
      <c r="J53" s="10">
        <f t="shared" si="2"/>
        <v>0</v>
      </c>
      <c r="K53" s="12"/>
      <c r="L53" s="10"/>
      <c r="M53" s="10"/>
      <c r="N53" s="10"/>
      <c r="O53" s="10">
        <f t="shared" si="3"/>
        <v>0</v>
      </c>
      <c r="P53" s="10"/>
      <c r="Q53" s="13"/>
      <c r="R53" s="16"/>
      <c r="S53" s="56">
        <v>6</v>
      </c>
      <c r="T53" s="57">
        <v>6</v>
      </c>
      <c r="U53" s="57">
        <v>6</v>
      </c>
      <c r="V53" s="57">
        <v>5</v>
      </c>
      <c r="W53" s="59">
        <v>6</v>
      </c>
      <c r="X53" s="26">
        <f t="shared" si="4"/>
        <v>29</v>
      </c>
      <c r="Y53" s="63">
        <v>12</v>
      </c>
      <c r="Z53" s="66">
        <v>6</v>
      </c>
      <c r="AA53" s="66">
        <v>4</v>
      </c>
      <c r="AB53" s="66">
        <v>3</v>
      </c>
      <c r="AC53" s="26">
        <f t="shared" si="5"/>
        <v>13</v>
      </c>
      <c r="AD53" s="25">
        <v>5</v>
      </c>
      <c r="AE53" s="28">
        <f t="shared" si="6"/>
        <v>59</v>
      </c>
      <c r="AF53" s="1"/>
      <c r="AG53" s="1"/>
      <c r="AH53" s="1"/>
      <c r="AI53" s="1"/>
      <c r="AJ53" s="1"/>
      <c r="AK53" s="1"/>
      <c r="AL53" s="1"/>
    </row>
    <row r="54" spans="2:38" ht="19.2" customHeight="1" x14ac:dyDescent="0.3">
      <c r="B54" s="8">
        <v>40</v>
      </c>
      <c r="C54" s="15" t="s">
        <v>78</v>
      </c>
      <c r="D54" s="8"/>
      <c r="E54" s="10"/>
      <c r="F54" s="10"/>
      <c r="G54" s="10"/>
      <c r="H54" s="10"/>
      <c r="I54" s="11"/>
      <c r="J54" s="10">
        <f t="shared" si="2"/>
        <v>0</v>
      </c>
      <c r="K54" s="12"/>
      <c r="L54" s="10"/>
      <c r="M54" s="10"/>
      <c r="N54" s="10"/>
      <c r="O54" s="10">
        <f t="shared" si="3"/>
        <v>0</v>
      </c>
      <c r="P54" s="10"/>
      <c r="Q54" s="13"/>
      <c r="R54" s="16"/>
      <c r="S54" s="56">
        <v>5</v>
      </c>
      <c r="T54" s="57">
        <v>6</v>
      </c>
      <c r="U54" s="57">
        <v>6</v>
      </c>
      <c r="V54" s="57">
        <v>5</v>
      </c>
      <c r="W54" s="59">
        <v>5</v>
      </c>
      <c r="X54" s="26">
        <f t="shared" si="4"/>
        <v>27</v>
      </c>
      <c r="Y54" s="63">
        <v>14</v>
      </c>
      <c r="Z54" s="66">
        <v>7</v>
      </c>
      <c r="AA54" s="66">
        <v>8</v>
      </c>
      <c r="AB54" s="66">
        <v>4</v>
      </c>
      <c r="AC54" s="26">
        <f t="shared" si="5"/>
        <v>19</v>
      </c>
      <c r="AD54" s="25">
        <v>5</v>
      </c>
      <c r="AE54" s="28">
        <f t="shared" si="6"/>
        <v>65</v>
      </c>
      <c r="AF54" s="1"/>
      <c r="AG54" s="1"/>
      <c r="AH54" s="1"/>
      <c r="AI54" s="1"/>
      <c r="AJ54" s="1"/>
      <c r="AK54" s="1"/>
      <c r="AL54" s="1"/>
    </row>
    <row r="55" spans="2:38" ht="19.2" customHeight="1" x14ac:dyDescent="0.3">
      <c r="B55" s="8">
        <v>41</v>
      </c>
      <c r="C55" s="15" t="s">
        <v>79</v>
      </c>
      <c r="D55" s="8"/>
      <c r="E55" s="10"/>
      <c r="F55" s="10"/>
      <c r="G55" s="10"/>
      <c r="H55" s="10"/>
      <c r="I55" s="11"/>
      <c r="J55" s="10">
        <f t="shared" si="2"/>
        <v>0</v>
      </c>
      <c r="K55" s="12"/>
      <c r="L55" s="10"/>
      <c r="M55" s="10"/>
      <c r="N55" s="10"/>
      <c r="O55" s="10">
        <f t="shared" si="3"/>
        <v>0</v>
      </c>
      <c r="P55" s="10"/>
      <c r="Q55" s="13"/>
      <c r="R55" s="16"/>
      <c r="S55" s="56">
        <v>6</v>
      </c>
      <c r="T55" s="57">
        <v>6</v>
      </c>
      <c r="U55" s="57">
        <v>6</v>
      </c>
      <c r="V55" s="57">
        <v>6</v>
      </c>
      <c r="W55" s="59">
        <v>3</v>
      </c>
      <c r="X55" s="26">
        <f t="shared" si="4"/>
        <v>27</v>
      </c>
      <c r="Y55" s="63">
        <v>14</v>
      </c>
      <c r="Z55" s="66">
        <v>8</v>
      </c>
      <c r="AA55" s="66">
        <v>8</v>
      </c>
      <c r="AB55" s="66">
        <v>4</v>
      </c>
      <c r="AC55" s="26">
        <f t="shared" si="5"/>
        <v>20</v>
      </c>
      <c r="AD55" s="25">
        <v>5</v>
      </c>
      <c r="AE55" s="28">
        <f t="shared" si="6"/>
        <v>66</v>
      </c>
      <c r="AF55" s="1"/>
      <c r="AG55" s="1"/>
      <c r="AH55" s="1"/>
      <c r="AI55" s="1"/>
      <c r="AJ55" s="1"/>
      <c r="AK55" s="1"/>
      <c r="AL55" s="1"/>
    </row>
    <row r="56" spans="2:38" ht="19.2" customHeight="1" x14ac:dyDescent="0.3">
      <c r="B56" s="8">
        <v>42</v>
      </c>
      <c r="C56" s="15" t="s">
        <v>80</v>
      </c>
      <c r="D56" s="8"/>
      <c r="E56" s="10"/>
      <c r="F56" s="10"/>
      <c r="G56" s="10"/>
      <c r="H56" s="10"/>
      <c r="I56" s="11"/>
      <c r="J56" s="10">
        <f t="shared" si="2"/>
        <v>0</v>
      </c>
      <c r="K56" s="12"/>
      <c r="L56" s="10"/>
      <c r="M56" s="10"/>
      <c r="N56" s="10"/>
      <c r="O56" s="10">
        <f t="shared" si="3"/>
        <v>0</v>
      </c>
      <c r="P56" s="10"/>
      <c r="Q56" s="13"/>
      <c r="R56" s="16"/>
      <c r="S56" s="56">
        <v>6</v>
      </c>
      <c r="T56" s="57">
        <v>6</v>
      </c>
      <c r="U56" s="57">
        <v>6</v>
      </c>
      <c r="V56" s="57">
        <v>6</v>
      </c>
      <c r="W56" s="59">
        <v>6</v>
      </c>
      <c r="X56" s="26">
        <f t="shared" si="4"/>
        <v>30</v>
      </c>
      <c r="Y56" s="63">
        <v>17</v>
      </c>
      <c r="Z56" s="66">
        <v>8</v>
      </c>
      <c r="AA56" s="66">
        <v>8</v>
      </c>
      <c r="AB56" s="66">
        <v>4</v>
      </c>
      <c r="AC56" s="26">
        <f t="shared" si="5"/>
        <v>20</v>
      </c>
      <c r="AD56" s="25">
        <v>5</v>
      </c>
      <c r="AE56" s="28">
        <f t="shared" si="6"/>
        <v>72</v>
      </c>
      <c r="AF56" s="1"/>
      <c r="AG56" s="1"/>
      <c r="AH56" s="1"/>
      <c r="AI56" s="1"/>
      <c r="AJ56" s="1"/>
      <c r="AK56" s="1"/>
      <c r="AL56" s="1"/>
    </row>
    <row r="57" spans="2:38" ht="19.2" customHeight="1" x14ac:dyDescent="0.3">
      <c r="B57" s="8">
        <v>43</v>
      </c>
      <c r="C57" s="15" t="s">
        <v>81</v>
      </c>
      <c r="D57" s="8"/>
      <c r="E57" s="10"/>
      <c r="F57" s="10"/>
      <c r="G57" s="10"/>
      <c r="H57" s="10"/>
      <c r="I57" s="11"/>
      <c r="J57" s="10">
        <f t="shared" si="2"/>
        <v>0</v>
      </c>
      <c r="K57" s="12"/>
      <c r="L57" s="10"/>
      <c r="M57" s="10"/>
      <c r="N57" s="10"/>
      <c r="O57" s="10">
        <f t="shared" si="3"/>
        <v>0</v>
      </c>
      <c r="P57" s="10"/>
      <c r="Q57" s="13"/>
      <c r="R57" s="16"/>
      <c r="S57" s="56">
        <v>6</v>
      </c>
      <c r="T57" s="57">
        <v>6</v>
      </c>
      <c r="U57" s="57">
        <v>6</v>
      </c>
      <c r="V57" s="57">
        <v>6</v>
      </c>
      <c r="W57" s="59">
        <v>4</v>
      </c>
      <c r="X57" s="26">
        <f t="shared" si="4"/>
        <v>28</v>
      </c>
      <c r="Y57" s="63">
        <v>14</v>
      </c>
      <c r="Z57" s="66">
        <v>8</v>
      </c>
      <c r="AA57" s="66">
        <v>8</v>
      </c>
      <c r="AB57" s="66">
        <v>4</v>
      </c>
      <c r="AC57" s="26">
        <f t="shared" si="5"/>
        <v>20</v>
      </c>
      <c r="AD57" s="25">
        <v>5</v>
      </c>
      <c r="AE57" s="28">
        <f t="shared" si="6"/>
        <v>67</v>
      </c>
      <c r="AF57" s="1"/>
      <c r="AG57" s="1"/>
      <c r="AH57" s="1"/>
      <c r="AI57" s="1"/>
      <c r="AJ57" s="1"/>
      <c r="AK57" s="1"/>
      <c r="AL57" s="1"/>
    </row>
    <row r="58" spans="2:38" ht="19.2" customHeight="1" x14ac:dyDescent="0.3">
      <c r="B58" s="8">
        <v>44</v>
      </c>
      <c r="C58" s="15" t="s">
        <v>82</v>
      </c>
      <c r="D58" s="8"/>
      <c r="E58" s="10"/>
      <c r="F58" s="10"/>
      <c r="G58" s="17"/>
      <c r="H58" s="10"/>
      <c r="I58" s="11"/>
      <c r="J58" s="10">
        <f t="shared" si="2"/>
        <v>0</v>
      </c>
      <c r="K58" s="12"/>
      <c r="L58" s="10"/>
      <c r="M58" s="10"/>
      <c r="N58" s="10"/>
      <c r="O58" s="10">
        <f t="shared" si="3"/>
        <v>0</v>
      </c>
      <c r="P58" s="10"/>
      <c r="Q58" s="13"/>
      <c r="R58" s="16"/>
      <c r="S58" s="56">
        <v>3</v>
      </c>
      <c r="T58" s="57">
        <v>5</v>
      </c>
      <c r="U58" s="57">
        <v>5</v>
      </c>
      <c r="V58" s="57">
        <v>4</v>
      </c>
      <c r="W58" s="59">
        <v>4</v>
      </c>
      <c r="X58" s="26">
        <f t="shared" si="4"/>
        <v>21</v>
      </c>
      <c r="Y58" s="63">
        <v>16</v>
      </c>
      <c r="Z58" s="66">
        <v>4</v>
      </c>
      <c r="AA58" s="66">
        <v>4</v>
      </c>
      <c r="AB58" s="66">
        <v>4</v>
      </c>
      <c r="AC58" s="26">
        <f t="shared" si="5"/>
        <v>12</v>
      </c>
      <c r="AD58" s="25">
        <v>5</v>
      </c>
      <c r="AE58" s="28">
        <f t="shared" si="6"/>
        <v>54</v>
      </c>
      <c r="AF58" s="1"/>
      <c r="AG58" s="1"/>
      <c r="AH58" s="1"/>
      <c r="AI58" s="1"/>
      <c r="AJ58" s="1"/>
      <c r="AK58" s="1"/>
      <c r="AL58" s="1"/>
    </row>
    <row r="59" spans="2:38" ht="19.2" customHeight="1" x14ac:dyDescent="0.3">
      <c r="B59" s="8">
        <v>45</v>
      </c>
      <c r="C59" s="15" t="s">
        <v>83</v>
      </c>
      <c r="D59" s="8"/>
      <c r="E59" s="10"/>
      <c r="F59" s="10"/>
      <c r="G59" s="10"/>
      <c r="H59" s="17"/>
      <c r="I59" s="11"/>
      <c r="J59" s="10">
        <f t="shared" si="2"/>
        <v>0</v>
      </c>
      <c r="K59" s="12"/>
      <c r="L59" s="10"/>
      <c r="M59" s="10"/>
      <c r="N59" s="10"/>
      <c r="O59" s="10">
        <f t="shared" si="3"/>
        <v>0</v>
      </c>
      <c r="P59" s="10"/>
      <c r="Q59" s="13"/>
      <c r="R59" s="16"/>
      <c r="S59" s="56">
        <v>5</v>
      </c>
      <c r="T59" s="57">
        <v>6</v>
      </c>
      <c r="U59" s="57">
        <v>5</v>
      </c>
      <c r="V59" s="57">
        <v>4</v>
      </c>
      <c r="W59" s="59">
        <v>6</v>
      </c>
      <c r="X59" s="26">
        <f t="shared" si="4"/>
        <v>26</v>
      </c>
      <c r="Y59" s="63">
        <v>14</v>
      </c>
      <c r="Z59" s="66">
        <v>4</v>
      </c>
      <c r="AA59" s="66">
        <v>8</v>
      </c>
      <c r="AB59" s="66">
        <v>4</v>
      </c>
      <c r="AC59" s="26">
        <f t="shared" si="5"/>
        <v>16</v>
      </c>
      <c r="AD59" s="25">
        <v>5</v>
      </c>
      <c r="AE59" s="28">
        <f t="shared" si="6"/>
        <v>61</v>
      </c>
      <c r="AF59" s="1"/>
      <c r="AG59" s="1"/>
      <c r="AH59" s="1"/>
      <c r="AI59" s="1"/>
      <c r="AJ59" s="1"/>
      <c r="AK59" s="1"/>
      <c r="AL59" s="1"/>
    </row>
    <row r="60" spans="2:38" ht="19.2" customHeight="1" x14ac:dyDescent="0.3">
      <c r="B60" s="8">
        <v>46</v>
      </c>
      <c r="C60" s="15" t="s">
        <v>84</v>
      </c>
      <c r="D60" s="8"/>
      <c r="E60" s="10"/>
      <c r="F60" s="10"/>
      <c r="G60" s="10"/>
      <c r="H60" s="10"/>
      <c r="I60" s="11"/>
      <c r="J60" s="10">
        <f t="shared" si="2"/>
        <v>0</v>
      </c>
      <c r="K60" s="12"/>
      <c r="L60" s="10"/>
      <c r="M60" s="10"/>
      <c r="N60" s="10"/>
      <c r="O60" s="10">
        <f t="shared" si="3"/>
        <v>0</v>
      </c>
      <c r="P60" s="10"/>
      <c r="Q60" s="13"/>
      <c r="R60" s="16"/>
      <c r="S60" s="56">
        <v>5</v>
      </c>
      <c r="T60" s="57">
        <v>3</v>
      </c>
      <c r="U60" s="57">
        <v>3</v>
      </c>
      <c r="V60" s="57">
        <v>4</v>
      </c>
      <c r="W60" s="59" t="s">
        <v>220</v>
      </c>
      <c r="X60" s="26">
        <f t="shared" si="4"/>
        <v>15</v>
      </c>
      <c r="Y60" s="63">
        <v>8</v>
      </c>
      <c r="Z60" s="66">
        <v>2</v>
      </c>
      <c r="AA60" s="66">
        <v>8</v>
      </c>
      <c r="AB60" s="66">
        <v>2</v>
      </c>
      <c r="AC60" s="26">
        <f t="shared" si="5"/>
        <v>12</v>
      </c>
      <c r="AD60" s="25">
        <v>5</v>
      </c>
      <c r="AE60" s="28">
        <f t="shared" si="6"/>
        <v>40</v>
      </c>
      <c r="AF60" s="1"/>
      <c r="AG60" s="1"/>
      <c r="AH60" s="1"/>
      <c r="AI60" s="1"/>
      <c r="AJ60" s="1"/>
      <c r="AK60" s="1"/>
      <c r="AL60" s="1"/>
    </row>
    <row r="61" spans="2:38" ht="19.2" customHeight="1" x14ac:dyDescent="0.3">
      <c r="B61" s="8">
        <v>47</v>
      </c>
      <c r="C61" s="15" t="s">
        <v>85</v>
      </c>
      <c r="D61" s="8"/>
      <c r="E61" s="10"/>
      <c r="F61" s="10"/>
      <c r="G61" s="17"/>
      <c r="H61" s="10"/>
      <c r="I61" s="11"/>
      <c r="J61" s="10">
        <f t="shared" si="2"/>
        <v>0</v>
      </c>
      <c r="K61" s="12"/>
      <c r="L61" s="10"/>
      <c r="M61" s="10"/>
      <c r="N61" s="10"/>
      <c r="O61" s="10">
        <f t="shared" si="3"/>
        <v>0</v>
      </c>
      <c r="P61" s="10"/>
      <c r="Q61" s="13"/>
      <c r="R61" s="16"/>
      <c r="S61" s="56">
        <v>4</v>
      </c>
      <c r="T61" s="57">
        <v>6</v>
      </c>
      <c r="U61" s="57">
        <v>6</v>
      </c>
      <c r="V61" s="57">
        <v>6</v>
      </c>
      <c r="W61" s="59">
        <v>6</v>
      </c>
      <c r="X61" s="26">
        <f t="shared" si="4"/>
        <v>28</v>
      </c>
      <c r="Y61" s="63">
        <v>17</v>
      </c>
      <c r="Z61" s="66">
        <v>8</v>
      </c>
      <c r="AA61" s="66">
        <v>8</v>
      </c>
      <c r="AB61" s="66">
        <v>4</v>
      </c>
      <c r="AC61" s="26">
        <f t="shared" si="5"/>
        <v>20</v>
      </c>
      <c r="AD61" s="25">
        <v>5</v>
      </c>
      <c r="AE61" s="28">
        <f t="shared" si="6"/>
        <v>70</v>
      </c>
      <c r="AF61" s="1"/>
      <c r="AG61" s="1"/>
      <c r="AH61" s="1"/>
      <c r="AI61" s="1"/>
      <c r="AJ61" s="1"/>
      <c r="AK61" s="1"/>
      <c r="AL61" s="1"/>
    </row>
    <row r="62" spans="2:38" ht="19.2" customHeight="1" x14ac:dyDescent="0.3">
      <c r="B62" s="8">
        <v>48</v>
      </c>
      <c r="C62" s="15" t="s">
        <v>86</v>
      </c>
      <c r="D62" s="8"/>
      <c r="E62" s="10"/>
      <c r="F62" s="10"/>
      <c r="G62" s="10"/>
      <c r="H62" s="10"/>
      <c r="I62" s="11"/>
      <c r="J62" s="10">
        <f t="shared" si="2"/>
        <v>0</v>
      </c>
      <c r="K62" s="12"/>
      <c r="L62" s="10"/>
      <c r="M62" s="10"/>
      <c r="N62" s="10"/>
      <c r="O62" s="10">
        <f t="shared" si="3"/>
        <v>0</v>
      </c>
      <c r="P62" s="10"/>
      <c r="Q62" s="13"/>
      <c r="R62" s="16"/>
      <c r="S62" s="56">
        <v>6</v>
      </c>
      <c r="T62" s="57">
        <v>6</v>
      </c>
      <c r="U62" s="57">
        <v>6</v>
      </c>
      <c r="V62" s="57">
        <v>6</v>
      </c>
      <c r="W62" s="59">
        <v>6</v>
      </c>
      <c r="X62" s="26">
        <f t="shared" si="4"/>
        <v>30</v>
      </c>
      <c r="Y62" s="63">
        <v>16</v>
      </c>
      <c r="Z62" s="66">
        <v>8</v>
      </c>
      <c r="AA62" s="66">
        <v>8</v>
      </c>
      <c r="AB62" s="66">
        <v>3</v>
      </c>
      <c r="AC62" s="26">
        <f t="shared" si="5"/>
        <v>19</v>
      </c>
      <c r="AD62" s="25">
        <v>5</v>
      </c>
      <c r="AE62" s="28">
        <f t="shared" si="6"/>
        <v>70</v>
      </c>
      <c r="AF62" s="1"/>
      <c r="AG62" s="1"/>
      <c r="AH62" s="1"/>
      <c r="AI62" s="1"/>
      <c r="AJ62" s="1"/>
      <c r="AK62" s="1"/>
      <c r="AL62" s="1"/>
    </row>
    <row r="63" spans="2:38" ht="19.2" customHeight="1" x14ac:dyDescent="0.3">
      <c r="B63" s="8">
        <v>49</v>
      </c>
      <c r="C63" s="15" t="s">
        <v>87</v>
      </c>
      <c r="D63" s="8"/>
      <c r="E63" s="10"/>
      <c r="F63" s="10"/>
      <c r="G63" s="10"/>
      <c r="H63" s="10"/>
      <c r="I63" s="11"/>
      <c r="J63" s="10">
        <f t="shared" si="2"/>
        <v>0</v>
      </c>
      <c r="K63" s="12"/>
      <c r="L63" s="10"/>
      <c r="M63" s="10"/>
      <c r="N63" s="10"/>
      <c r="O63" s="10">
        <f t="shared" si="3"/>
        <v>0</v>
      </c>
      <c r="P63" s="10"/>
      <c r="Q63" s="13"/>
      <c r="R63" s="16"/>
      <c r="S63" s="56">
        <v>4</v>
      </c>
      <c r="T63" s="57">
        <v>4</v>
      </c>
      <c r="U63" s="57">
        <v>4</v>
      </c>
      <c r="V63" s="57">
        <v>4</v>
      </c>
      <c r="W63" s="59">
        <v>5</v>
      </c>
      <c r="X63" s="26">
        <f t="shared" si="4"/>
        <v>21</v>
      </c>
      <c r="Y63" s="63">
        <v>19</v>
      </c>
      <c r="Z63" s="66">
        <v>4</v>
      </c>
      <c r="AA63" s="66">
        <v>4</v>
      </c>
      <c r="AB63" s="66">
        <v>0</v>
      </c>
      <c r="AC63" s="26">
        <f t="shared" si="5"/>
        <v>8</v>
      </c>
      <c r="AD63" s="25">
        <v>5</v>
      </c>
      <c r="AE63" s="28">
        <f t="shared" si="6"/>
        <v>53</v>
      </c>
      <c r="AF63" s="1"/>
      <c r="AG63" s="1"/>
      <c r="AH63" s="1"/>
      <c r="AI63" s="1"/>
      <c r="AJ63" s="1"/>
      <c r="AK63" s="1"/>
      <c r="AL63" s="1"/>
    </row>
    <row r="64" spans="2:38" ht="19.2" customHeight="1" x14ac:dyDescent="0.3">
      <c r="B64" s="8">
        <v>50</v>
      </c>
      <c r="C64" s="15" t="s">
        <v>88</v>
      </c>
      <c r="D64" s="8"/>
      <c r="E64" s="10"/>
      <c r="F64" s="10"/>
      <c r="G64" s="10"/>
      <c r="H64" s="10"/>
      <c r="I64" s="11"/>
      <c r="J64" s="10">
        <f t="shared" si="2"/>
        <v>0</v>
      </c>
      <c r="K64" s="12"/>
      <c r="L64" s="10"/>
      <c r="M64" s="10"/>
      <c r="N64" s="10"/>
      <c r="O64" s="10">
        <f t="shared" si="3"/>
        <v>0</v>
      </c>
      <c r="P64" s="10"/>
      <c r="Q64" s="13"/>
      <c r="R64" s="16"/>
      <c r="S64" s="56">
        <v>6</v>
      </c>
      <c r="T64" s="57">
        <v>5</v>
      </c>
      <c r="U64" s="57">
        <v>6</v>
      </c>
      <c r="V64" s="57">
        <v>6</v>
      </c>
      <c r="W64" s="59">
        <v>6</v>
      </c>
      <c r="X64" s="26">
        <f t="shared" si="4"/>
        <v>29</v>
      </c>
      <c r="Y64" s="63">
        <v>17</v>
      </c>
      <c r="Z64" s="66">
        <v>4</v>
      </c>
      <c r="AA64" s="66">
        <v>8</v>
      </c>
      <c r="AB64" s="66">
        <v>1</v>
      </c>
      <c r="AC64" s="26">
        <f t="shared" si="5"/>
        <v>13</v>
      </c>
      <c r="AD64" s="25">
        <v>5</v>
      </c>
      <c r="AE64" s="28">
        <f t="shared" si="6"/>
        <v>64</v>
      </c>
      <c r="AF64" s="1"/>
      <c r="AG64" s="1"/>
      <c r="AH64" s="1"/>
      <c r="AI64" s="1"/>
      <c r="AJ64" s="1"/>
      <c r="AK64" s="1"/>
      <c r="AL64" s="1"/>
    </row>
    <row r="65" spans="2:38" ht="19.2" customHeight="1" x14ac:dyDescent="0.3">
      <c r="B65" s="8">
        <v>51</v>
      </c>
      <c r="C65" s="15" t="s">
        <v>89</v>
      </c>
      <c r="D65" s="8"/>
      <c r="E65" s="10"/>
      <c r="F65" s="10"/>
      <c r="G65" s="10"/>
      <c r="H65" s="10"/>
      <c r="I65" s="11"/>
      <c r="J65" s="10">
        <f t="shared" si="2"/>
        <v>0</v>
      </c>
      <c r="K65" s="12"/>
      <c r="L65" s="10"/>
      <c r="M65" s="10"/>
      <c r="N65" s="10"/>
      <c r="O65" s="10">
        <f t="shared" si="3"/>
        <v>0</v>
      </c>
      <c r="P65" s="10"/>
      <c r="Q65" s="13"/>
      <c r="R65" s="16"/>
      <c r="S65" s="56">
        <v>4</v>
      </c>
      <c r="T65" s="57">
        <v>4</v>
      </c>
      <c r="U65" s="57">
        <v>6</v>
      </c>
      <c r="V65" s="57">
        <v>4</v>
      </c>
      <c r="W65" s="59">
        <v>6</v>
      </c>
      <c r="X65" s="26">
        <f t="shared" si="4"/>
        <v>24</v>
      </c>
      <c r="Y65" s="63">
        <v>15</v>
      </c>
      <c r="Z65" s="66">
        <v>4</v>
      </c>
      <c r="AA65" s="66">
        <v>8</v>
      </c>
      <c r="AB65" s="66">
        <v>2</v>
      </c>
      <c r="AC65" s="26">
        <f t="shared" si="5"/>
        <v>14</v>
      </c>
      <c r="AD65" s="25">
        <v>2</v>
      </c>
      <c r="AE65" s="28">
        <f t="shared" si="6"/>
        <v>55</v>
      </c>
      <c r="AF65" s="1"/>
      <c r="AG65" s="1"/>
      <c r="AH65" s="1"/>
      <c r="AI65" s="1"/>
      <c r="AJ65" s="1"/>
      <c r="AK65" s="1"/>
      <c r="AL65" s="1"/>
    </row>
    <row r="66" spans="2:38" ht="19.2" customHeight="1" x14ac:dyDescent="0.3">
      <c r="B66" s="8">
        <v>52</v>
      </c>
      <c r="C66" s="15" t="s">
        <v>90</v>
      </c>
      <c r="D66" s="8"/>
      <c r="E66" s="10"/>
      <c r="F66" s="10"/>
      <c r="G66" s="10"/>
      <c r="H66" s="10"/>
      <c r="I66" s="11"/>
      <c r="J66" s="10">
        <f t="shared" si="2"/>
        <v>0</v>
      </c>
      <c r="K66" s="12"/>
      <c r="L66" s="10"/>
      <c r="M66" s="10"/>
      <c r="N66" s="10"/>
      <c r="O66" s="10">
        <f t="shared" si="3"/>
        <v>0</v>
      </c>
      <c r="P66" s="10"/>
      <c r="Q66" s="13"/>
      <c r="R66" s="16"/>
      <c r="S66" s="56">
        <v>5</v>
      </c>
      <c r="T66" s="57">
        <v>3</v>
      </c>
      <c r="U66" s="57">
        <v>5</v>
      </c>
      <c r="V66" s="57">
        <v>6</v>
      </c>
      <c r="W66" s="59">
        <v>6</v>
      </c>
      <c r="X66" s="26">
        <f t="shared" si="4"/>
        <v>25</v>
      </c>
      <c r="Y66" s="63">
        <v>14</v>
      </c>
      <c r="Z66" s="66">
        <v>8</v>
      </c>
      <c r="AA66" s="66">
        <v>8</v>
      </c>
      <c r="AB66" s="66">
        <v>4</v>
      </c>
      <c r="AC66" s="26">
        <f t="shared" si="5"/>
        <v>20</v>
      </c>
      <c r="AD66" s="25">
        <v>5</v>
      </c>
      <c r="AE66" s="28">
        <f t="shared" si="6"/>
        <v>64</v>
      </c>
      <c r="AF66" s="1"/>
      <c r="AG66" s="1"/>
      <c r="AH66" s="1"/>
      <c r="AI66" s="1"/>
      <c r="AJ66" s="1"/>
      <c r="AK66" s="1"/>
      <c r="AL66" s="1"/>
    </row>
    <row r="67" spans="2:38" ht="19.2" customHeight="1" x14ac:dyDescent="0.3">
      <c r="B67" s="8">
        <v>53</v>
      </c>
      <c r="C67" s="15" t="s">
        <v>91</v>
      </c>
      <c r="D67" s="8"/>
      <c r="E67" s="10"/>
      <c r="F67" s="10"/>
      <c r="G67" s="10"/>
      <c r="H67" s="17"/>
      <c r="I67" s="11"/>
      <c r="J67" s="10">
        <f t="shared" si="2"/>
        <v>0</v>
      </c>
      <c r="K67" s="12"/>
      <c r="L67" s="10"/>
      <c r="M67" s="10"/>
      <c r="N67" s="10"/>
      <c r="O67" s="10">
        <f t="shared" si="3"/>
        <v>0</v>
      </c>
      <c r="P67" s="10"/>
      <c r="Q67" s="13"/>
      <c r="R67" s="16"/>
      <c r="S67" s="56">
        <v>5</v>
      </c>
      <c r="T67" s="57">
        <v>5</v>
      </c>
      <c r="U67" s="57">
        <v>5</v>
      </c>
      <c r="V67" s="57" t="s">
        <v>220</v>
      </c>
      <c r="W67" s="59">
        <v>3</v>
      </c>
      <c r="X67" s="26">
        <f t="shared" si="4"/>
        <v>18</v>
      </c>
      <c r="Y67" s="63">
        <v>10</v>
      </c>
      <c r="Z67" s="66">
        <v>4</v>
      </c>
      <c r="AA67" s="66">
        <v>8</v>
      </c>
      <c r="AB67" s="66">
        <v>4</v>
      </c>
      <c r="AC67" s="26">
        <f t="shared" si="5"/>
        <v>16</v>
      </c>
      <c r="AD67" s="25">
        <v>2</v>
      </c>
      <c r="AE67" s="28">
        <f t="shared" si="6"/>
        <v>46</v>
      </c>
      <c r="AF67" s="1"/>
      <c r="AG67" s="1"/>
      <c r="AH67" s="1"/>
      <c r="AI67" s="1"/>
      <c r="AJ67" s="1"/>
      <c r="AK67" s="1"/>
      <c r="AL67" s="1"/>
    </row>
    <row r="68" spans="2:38" ht="19.2" customHeight="1" x14ac:dyDescent="0.3">
      <c r="B68" s="8">
        <v>54</v>
      </c>
      <c r="C68" s="15" t="s">
        <v>92</v>
      </c>
      <c r="D68" s="8"/>
      <c r="E68" s="10"/>
      <c r="F68" s="10"/>
      <c r="G68" s="10"/>
      <c r="H68" s="10"/>
      <c r="I68" s="11"/>
      <c r="J68" s="10">
        <f t="shared" si="2"/>
        <v>0</v>
      </c>
      <c r="K68" s="12"/>
      <c r="L68" s="10"/>
      <c r="M68" s="10"/>
      <c r="N68" s="10"/>
      <c r="O68" s="10">
        <f t="shared" si="3"/>
        <v>0</v>
      </c>
      <c r="P68" s="10"/>
      <c r="Q68" s="13"/>
      <c r="R68" s="16"/>
      <c r="S68" s="56">
        <v>5</v>
      </c>
      <c r="T68" s="57">
        <v>5</v>
      </c>
      <c r="U68" s="57">
        <v>6</v>
      </c>
      <c r="V68" s="57">
        <v>5</v>
      </c>
      <c r="W68" s="59">
        <v>6</v>
      </c>
      <c r="X68" s="26">
        <f t="shared" si="4"/>
        <v>27</v>
      </c>
      <c r="Y68" s="63">
        <v>12</v>
      </c>
      <c r="Z68" s="66">
        <v>6</v>
      </c>
      <c r="AA68" s="66">
        <v>8</v>
      </c>
      <c r="AB68" s="66">
        <v>4</v>
      </c>
      <c r="AC68" s="26">
        <f t="shared" si="5"/>
        <v>18</v>
      </c>
      <c r="AD68" s="25">
        <v>5</v>
      </c>
      <c r="AE68" s="28">
        <f t="shared" si="6"/>
        <v>62</v>
      </c>
      <c r="AF68" s="1"/>
      <c r="AG68" s="1"/>
      <c r="AH68" s="1"/>
      <c r="AI68" s="1"/>
      <c r="AJ68" s="1"/>
      <c r="AK68" s="1"/>
      <c r="AL68" s="1"/>
    </row>
    <row r="69" spans="2:38" ht="19.2" customHeight="1" x14ac:dyDescent="0.3">
      <c r="B69" s="8">
        <v>55</v>
      </c>
      <c r="C69" s="15" t="s">
        <v>93</v>
      </c>
      <c r="D69" s="8"/>
      <c r="E69" s="10"/>
      <c r="F69" s="10"/>
      <c r="G69" s="17"/>
      <c r="H69" s="17"/>
      <c r="I69" s="11"/>
      <c r="J69" s="10">
        <f t="shared" si="2"/>
        <v>0</v>
      </c>
      <c r="K69" s="18"/>
      <c r="L69" s="10"/>
      <c r="M69" s="10"/>
      <c r="N69" s="10"/>
      <c r="O69" s="10">
        <f t="shared" si="3"/>
        <v>0</v>
      </c>
      <c r="P69" s="10"/>
      <c r="Q69" s="13"/>
      <c r="R69" s="16"/>
      <c r="S69" s="56">
        <v>4</v>
      </c>
      <c r="T69" s="57">
        <v>4</v>
      </c>
      <c r="U69" s="57">
        <v>3</v>
      </c>
      <c r="V69" s="57">
        <v>5</v>
      </c>
      <c r="W69" s="59">
        <v>4</v>
      </c>
      <c r="X69" s="26">
        <f t="shared" si="4"/>
        <v>20</v>
      </c>
      <c r="Y69" s="63">
        <v>5</v>
      </c>
      <c r="Z69" s="66">
        <v>4</v>
      </c>
      <c r="AA69" s="66">
        <v>8</v>
      </c>
      <c r="AB69" s="66">
        <v>2</v>
      </c>
      <c r="AC69" s="26">
        <f t="shared" si="5"/>
        <v>14</v>
      </c>
      <c r="AD69" s="25">
        <v>5</v>
      </c>
      <c r="AE69" s="28">
        <f t="shared" si="6"/>
        <v>44</v>
      </c>
      <c r="AF69" s="1"/>
      <c r="AG69" s="1"/>
      <c r="AH69" s="1"/>
      <c r="AI69" s="1"/>
      <c r="AJ69" s="1"/>
      <c r="AK69" s="1"/>
      <c r="AL69" s="1"/>
    </row>
    <row r="70" spans="2:38" ht="19.2" customHeight="1" x14ac:dyDescent="0.3">
      <c r="B70" s="8">
        <v>56</v>
      </c>
      <c r="C70" s="15" t="s">
        <v>94</v>
      </c>
      <c r="D70" s="8"/>
      <c r="E70" s="10"/>
      <c r="F70" s="10"/>
      <c r="G70" s="10"/>
      <c r="H70" s="10"/>
      <c r="I70" s="11"/>
      <c r="J70" s="10">
        <f t="shared" si="2"/>
        <v>0</v>
      </c>
      <c r="K70" s="19"/>
      <c r="L70" s="10"/>
      <c r="M70" s="10"/>
      <c r="N70" s="10"/>
      <c r="O70" s="10">
        <f t="shared" si="3"/>
        <v>0</v>
      </c>
      <c r="P70" s="10"/>
      <c r="Q70" s="13"/>
      <c r="R70" s="16"/>
      <c r="S70" s="56">
        <v>4</v>
      </c>
      <c r="T70" s="57">
        <v>4</v>
      </c>
      <c r="U70" s="57">
        <v>4</v>
      </c>
      <c r="V70" s="57">
        <v>3</v>
      </c>
      <c r="W70" s="59">
        <v>4</v>
      </c>
      <c r="X70" s="26">
        <f t="shared" si="4"/>
        <v>19</v>
      </c>
      <c r="Y70" s="63">
        <v>6</v>
      </c>
      <c r="Z70" s="66">
        <v>5</v>
      </c>
      <c r="AA70" s="66">
        <v>8</v>
      </c>
      <c r="AB70" s="66">
        <v>4</v>
      </c>
      <c r="AC70" s="26">
        <f t="shared" si="5"/>
        <v>17</v>
      </c>
      <c r="AD70" s="25">
        <v>5</v>
      </c>
      <c r="AE70" s="28">
        <f t="shared" si="6"/>
        <v>47</v>
      </c>
      <c r="AF70" s="1"/>
      <c r="AG70" s="1"/>
      <c r="AH70" s="1"/>
      <c r="AI70" s="1"/>
      <c r="AJ70" s="1"/>
      <c r="AK70" s="1"/>
      <c r="AL70" s="1"/>
    </row>
    <row r="71" spans="2:38" ht="19.2" customHeight="1" x14ac:dyDescent="0.3">
      <c r="B71" s="8">
        <v>57</v>
      </c>
      <c r="C71" s="22" t="s">
        <v>95</v>
      </c>
      <c r="D71" s="21"/>
      <c r="E71" s="24"/>
      <c r="F71" s="24"/>
      <c r="G71" s="50"/>
      <c r="H71" s="24"/>
      <c r="I71" s="30"/>
      <c r="J71" s="24">
        <f t="shared" si="2"/>
        <v>0</v>
      </c>
      <c r="K71" s="41"/>
      <c r="L71" s="24"/>
      <c r="M71" s="24"/>
      <c r="N71" s="24"/>
      <c r="O71" s="24">
        <f t="shared" si="3"/>
        <v>0</v>
      </c>
      <c r="P71" s="24"/>
      <c r="Q71" s="40"/>
      <c r="R71" s="23"/>
      <c r="S71" s="56">
        <v>3</v>
      </c>
      <c r="T71" s="57">
        <v>3</v>
      </c>
      <c r="U71" s="57">
        <v>4</v>
      </c>
      <c r="V71" s="57">
        <v>3</v>
      </c>
      <c r="W71" s="59">
        <v>6</v>
      </c>
      <c r="X71" s="26">
        <f t="shared" si="4"/>
        <v>19</v>
      </c>
      <c r="Y71" s="63">
        <v>9</v>
      </c>
      <c r="Z71" s="66">
        <v>6</v>
      </c>
      <c r="AA71" s="66">
        <v>4</v>
      </c>
      <c r="AB71" s="66">
        <v>2</v>
      </c>
      <c r="AC71" s="26">
        <f t="shared" si="5"/>
        <v>12</v>
      </c>
      <c r="AD71" s="25">
        <v>5</v>
      </c>
      <c r="AE71" s="28">
        <f t="shared" si="6"/>
        <v>45</v>
      </c>
      <c r="AF71" s="1"/>
      <c r="AG71" s="1"/>
      <c r="AH71" s="1"/>
      <c r="AI71" s="1"/>
      <c r="AJ71" s="1"/>
      <c r="AK71" s="1"/>
      <c r="AL71" s="1"/>
    </row>
    <row r="72" spans="2:38" ht="19.2" customHeight="1" x14ac:dyDescent="0.3">
      <c r="B72" s="8">
        <v>58</v>
      </c>
      <c r="C72" s="42" t="s">
        <v>96</v>
      </c>
      <c r="D72" s="31"/>
      <c r="E72" s="31"/>
      <c r="F72" s="31"/>
      <c r="G72" s="31"/>
      <c r="H72" s="31"/>
      <c r="I72" s="43"/>
      <c r="J72" s="31">
        <f t="shared" si="2"/>
        <v>0</v>
      </c>
      <c r="K72" s="44"/>
      <c r="L72" s="31"/>
      <c r="M72" s="31"/>
      <c r="N72" s="31"/>
      <c r="O72" s="31">
        <f t="shared" si="3"/>
        <v>0</v>
      </c>
      <c r="P72" s="31"/>
      <c r="Q72" s="31"/>
      <c r="R72" s="16"/>
      <c r="S72" s="56">
        <v>4</v>
      </c>
      <c r="T72" s="57">
        <v>6</v>
      </c>
      <c r="U72" s="57">
        <v>6</v>
      </c>
      <c r="V72" s="57">
        <v>6</v>
      </c>
      <c r="W72" s="59">
        <v>6</v>
      </c>
      <c r="X72" s="26">
        <f t="shared" si="4"/>
        <v>28</v>
      </c>
      <c r="Y72" s="63">
        <v>12</v>
      </c>
      <c r="Z72" s="66">
        <v>4</v>
      </c>
      <c r="AA72" s="66">
        <v>8</v>
      </c>
      <c r="AB72" s="66">
        <v>3</v>
      </c>
      <c r="AC72" s="26">
        <f t="shared" si="5"/>
        <v>15</v>
      </c>
      <c r="AD72" s="25">
        <v>5</v>
      </c>
      <c r="AE72" s="28">
        <f t="shared" si="6"/>
        <v>60</v>
      </c>
      <c r="AF72" s="1"/>
      <c r="AG72" s="1"/>
      <c r="AH72" s="1"/>
      <c r="AI72" s="1"/>
      <c r="AJ72" s="1"/>
      <c r="AK72" s="1"/>
      <c r="AL72" s="1"/>
    </row>
    <row r="73" spans="2:38" ht="19.2" customHeight="1" x14ac:dyDescent="0.3">
      <c r="B73" s="8">
        <v>59</v>
      </c>
      <c r="C73" s="42" t="s">
        <v>97</v>
      </c>
      <c r="D73" s="31"/>
      <c r="E73" s="31"/>
      <c r="F73" s="31"/>
      <c r="G73" s="45"/>
      <c r="H73" s="31"/>
      <c r="I73" s="43"/>
      <c r="J73" s="31"/>
      <c r="K73" s="44"/>
      <c r="L73" s="31"/>
      <c r="M73" s="31"/>
      <c r="N73" s="31"/>
      <c r="O73" s="31"/>
      <c r="P73" s="31"/>
      <c r="Q73" s="31"/>
      <c r="R73" s="16"/>
      <c r="S73" s="53">
        <v>2</v>
      </c>
      <c r="T73" s="54">
        <v>4</v>
      </c>
      <c r="U73" s="54">
        <v>4</v>
      </c>
      <c r="V73" s="54">
        <v>0</v>
      </c>
      <c r="W73" s="55">
        <v>4</v>
      </c>
      <c r="X73" s="26">
        <f t="shared" si="4"/>
        <v>14</v>
      </c>
      <c r="Y73" s="63">
        <v>15</v>
      </c>
      <c r="Z73" s="66">
        <v>0</v>
      </c>
      <c r="AA73" s="66">
        <v>2</v>
      </c>
      <c r="AB73" s="66">
        <v>2</v>
      </c>
      <c r="AC73" s="26">
        <f t="shared" si="5"/>
        <v>4</v>
      </c>
      <c r="AD73" s="25">
        <v>5</v>
      </c>
      <c r="AE73" s="28">
        <f t="shared" si="6"/>
        <v>38</v>
      </c>
      <c r="AF73" s="1"/>
      <c r="AG73" s="1"/>
      <c r="AH73" s="1"/>
      <c r="AI73" s="1"/>
      <c r="AJ73" s="1"/>
      <c r="AK73" s="1"/>
      <c r="AL73" s="1"/>
    </row>
    <row r="74" spans="2:38" ht="19.2" customHeight="1" x14ac:dyDescent="0.3">
      <c r="B74" s="8">
        <v>60</v>
      </c>
      <c r="C74" s="42" t="s">
        <v>98</v>
      </c>
      <c r="D74" s="31"/>
      <c r="E74" s="31"/>
      <c r="F74" s="31"/>
      <c r="G74" s="45"/>
      <c r="H74" s="31"/>
      <c r="I74" s="43"/>
      <c r="J74" s="31"/>
      <c r="K74" s="44"/>
      <c r="L74" s="31"/>
      <c r="M74" s="31"/>
      <c r="N74" s="31"/>
      <c r="O74" s="31"/>
      <c r="P74" s="31"/>
      <c r="Q74" s="31"/>
      <c r="R74" s="16"/>
      <c r="S74" s="56">
        <v>5</v>
      </c>
      <c r="T74" s="57">
        <v>5</v>
      </c>
      <c r="U74" s="57">
        <v>5</v>
      </c>
      <c r="V74" s="57">
        <v>5</v>
      </c>
      <c r="W74" s="59">
        <v>6</v>
      </c>
      <c r="X74" s="26">
        <f t="shared" si="4"/>
        <v>26</v>
      </c>
      <c r="Y74" s="63">
        <v>8</v>
      </c>
      <c r="Z74" s="66">
        <v>6</v>
      </c>
      <c r="AA74" s="66">
        <v>4</v>
      </c>
      <c r="AB74" s="66">
        <v>2</v>
      </c>
      <c r="AC74" s="26">
        <f t="shared" si="5"/>
        <v>12</v>
      </c>
      <c r="AD74" s="25">
        <v>5</v>
      </c>
      <c r="AE74" s="28">
        <f t="shared" si="6"/>
        <v>51</v>
      </c>
      <c r="AF74" s="1"/>
      <c r="AG74" s="1"/>
      <c r="AH74" s="1"/>
      <c r="AI74" s="1"/>
      <c r="AJ74" s="1"/>
      <c r="AK74" s="1"/>
      <c r="AL74" s="1"/>
    </row>
    <row r="75" spans="2:38" ht="19.2" customHeight="1" x14ac:dyDescent="0.3">
      <c r="B75" s="8">
        <v>61</v>
      </c>
      <c r="C75" s="42" t="s">
        <v>99</v>
      </c>
      <c r="D75" s="31"/>
      <c r="E75" s="31"/>
      <c r="F75" s="31"/>
      <c r="G75" s="45"/>
      <c r="H75" s="31"/>
      <c r="I75" s="43"/>
      <c r="J75" s="31"/>
      <c r="K75" s="44"/>
      <c r="L75" s="31"/>
      <c r="M75" s="31"/>
      <c r="N75" s="31"/>
      <c r="O75" s="31"/>
      <c r="P75" s="31"/>
      <c r="Q75" s="31"/>
      <c r="R75" s="16"/>
      <c r="S75" s="56">
        <v>0</v>
      </c>
      <c r="T75" s="57">
        <v>6</v>
      </c>
      <c r="U75" s="57">
        <v>6</v>
      </c>
      <c r="V75" s="57">
        <v>6</v>
      </c>
      <c r="W75" s="59">
        <v>0</v>
      </c>
      <c r="X75" s="26">
        <f t="shared" si="4"/>
        <v>18</v>
      </c>
      <c r="Y75" s="63">
        <v>15</v>
      </c>
      <c r="Z75" s="66">
        <v>4</v>
      </c>
      <c r="AA75" s="66">
        <v>4</v>
      </c>
      <c r="AB75" s="66">
        <v>0</v>
      </c>
      <c r="AC75" s="26">
        <f t="shared" si="5"/>
        <v>8</v>
      </c>
      <c r="AD75" s="25">
        <v>5</v>
      </c>
      <c r="AE75" s="28">
        <f t="shared" si="6"/>
        <v>46</v>
      </c>
    </row>
    <row r="76" spans="2:38" ht="19.2" customHeight="1" x14ac:dyDescent="0.3">
      <c r="B76" s="8">
        <v>62</v>
      </c>
      <c r="C76" s="42" t="s">
        <v>100</v>
      </c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31"/>
      <c r="R76" s="16"/>
      <c r="S76" s="56">
        <v>4</v>
      </c>
      <c r="T76" s="57">
        <v>5</v>
      </c>
      <c r="U76" s="57">
        <v>5</v>
      </c>
      <c r="V76" s="57">
        <v>4</v>
      </c>
      <c r="W76" s="60">
        <v>1</v>
      </c>
      <c r="X76" s="26">
        <f t="shared" si="4"/>
        <v>19</v>
      </c>
      <c r="Y76" s="63">
        <v>16</v>
      </c>
      <c r="Z76" s="66">
        <v>4</v>
      </c>
      <c r="AA76" s="66">
        <v>6</v>
      </c>
      <c r="AB76" s="66">
        <v>1</v>
      </c>
      <c r="AC76" s="26">
        <f t="shared" si="5"/>
        <v>11</v>
      </c>
      <c r="AD76" s="25">
        <v>5</v>
      </c>
      <c r="AE76" s="28">
        <f t="shared" si="6"/>
        <v>51</v>
      </c>
    </row>
    <row r="77" spans="2:38" ht="19.2" customHeight="1" x14ac:dyDescent="0.3">
      <c r="B77" s="8">
        <v>63</v>
      </c>
      <c r="C77" s="42" t="s">
        <v>101</v>
      </c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31"/>
      <c r="R77" s="16"/>
      <c r="S77" s="56">
        <v>4</v>
      </c>
      <c r="T77" s="57">
        <v>4</v>
      </c>
      <c r="U77" s="57">
        <v>4</v>
      </c>
      <c r="V77" s="57">
        <v>4</v>
      </c>
      <c r="W77" s="60">
        <v>2</v>
      </c>
      <c r="X77" s="26">
        <f t="shared" si="4"/>
        <v>18</v>
      </c>
      <c r="Y77" s="63">
        <v>14</v>
      </c>
      <c r="Z77" s="66">
        <v>4</v>
      </c>
      <c r="AA77" s="66">
        <v>6</v>
      </c>
      <c r="AB77" s="66">
        <v>2</v>
      </c>
      <c r="AC77" s="26">
        <f t="shared" si="5"/>
        <v>12</v>
      </c>
      <c r="AD77" s="25">
        <v>5</v>
      </c>
      <c r="AE77" s="28">
        <f t="shared" si="6"/>
        <v>49</v>
      </c>
    </row>
    <row r="78" spans="2:38" ht="19.2" customHeight="1" x14ac:dyDescent="0.3">
      <c r="B78" s="8">
        <v>64</v>
      </c>
      <c r="C78" s="42" t="s">
        <v>102</v>
      </c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31"/>
      <c r="R78" s="16"/>
      <c r="S78" s="56">
        <v>5</v>
      </c>
      <c r="T78" s="57">
        <v>6</v>
      </c>
      <c r="U78" s="57">
        <v>6</v>
      </c>
      <c r="V78" s="57">
        <v>6</v>
      </c>
      <c r="W78" s="60">
        <v>6</v>
      </c>
      <c r="X78" s="26">
        <f t="shared" si="4"/>
        <v>29</v>
      </c>
      <c r="Y78" s="63">
        <v>12</v>
      </c>
      <c r="Z78" s="66">
        <v>8</v>
      </c>
      <c r="AA78" s="66">
        <v>8</v>
      </c>
      <c r="AB78" s="66">
        <v>3</v>
      </c>
      <c r="AC78" s="26">
        <f t="shared" si="5"/>
        <v>19</v>
      </c>
      <c r="AD78" s="25">
        <v>5</v>
      </c>
      <c r="AE78" s="28">
        <f t="shared" si="6"/>
        <v>65</v>
      </c>
    </row>
    <row r="79" spans="2:38" ht="19.2" customHeight="1" x14ac:dyDescent="0.3">
      <c r="B79" s="8">
        <v>65</v>
      </c>
      <c r="C79" s="42" t="s">
        <v>103</v>
      </c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31"/>
      <c r="R79" s="16"/>
      <c r="S79" s="56">
        <v>6</v>
      </c>
      <c r="T79" s="57">
        <v>4</v>
      </c>
      <c r="U79" s="57">
        <v>6</v>
      </c>
      <c r="V79" s="57">
        <v>0</v>
      </c>
      <c r="W79" s="60">
        <v>6</v>
      </c>
      <c r="X79" s="26">
        <f t="shared" si="4"/>
        <v>22</v>
      </c>
      <c r="Y79" s="63">
        <v>18</v>
      </c>
      <c r="Z79" s="66">
        <v>4</v>
      </c>
      <c r="AA79" s="66">
        <v>6</v>
      </c>
      <c r="AB79" s="66">
        <v>3</v>
      </c>
      <c r="AC79" s="26">
        <f t="shared" ref="AC79:AC110" si="7">SUM(Z79:AB79)</f>
        <v>13</v>
      </c>
      <c r="AD79" s="25">
        <v>5</v>
      </c>
      <c r="AE79" s="28">
        <f t="shared" ref="AE79:AE110" si="8">SUM(X79,Y79,AC79,AD79)</f>
        <v>58</v>
      </c>
    </row>
    <row r="80" spans="2:38" ht="15.6" x14ac:dyDescent="0.3">
      <c r="B80" s="8">
        <v>66</v>
      </c>
      <c r="C80" s="47" t="s">
        <v>104</v>
      </c>
      <c r="D80" s="48"/>
      <c r="E80" s="48"/>
      <c r="F80" s="48"/>
      <c r="G80" s="48"/>
      <c r="H80" s="48"/>
      <c r="I80" s="48"/>
      <c r="J80" s="47"/>
      <c r="K80" s="48"/>
      <c r="L80" s="48"/>
      <c r="M80" s="48"/>
      <c r="N80" s="48"/>
      <c r="O80" s="47"/>
      <c r="P80" s="48"/>
      <c r="Q80" s="48"/>
      <c r="R80" s="49"/>
      <c r="S80" s="56">
        <v>5</v>
      </c>
      <c r="T80" s="57">
        <v>6</v>
      </c>
      <c r="U80" s="57">
        <v>6</v>
      </c>
      <c r="V80" s="57">
        <v>5</v>
      </c>
      <c r="W80" s="60">
        <v>6</v>
      </c>
      <c r="X80" s="26">
        <f t="shared" ref="X80:X143" si="9">SUM(S80:W80)</f>
        <v>28</v>
      </c>
      <c r="Y80" s="63">
        <v>11</v>
      </c>
      <c r="Z80" s="66">
        <v>8</v>
      </c>
      <c r="AA80" s="66">
        <v>8</v>
      </c>
      <c r="AB80" s="66">
        <v>4</v>
      </c>
      <c r="AC80" s="26">
        <f t="shared" si="7"/>
        <v>20</v>
      </c>
      <c r="AD80" s="25">
        <v>5</v>
      </c>
      <c r="AE80" s="28">
        <f t="shared" si="8"/>
        <v>64</v>
      </c>
    </row>
    <row r="81" spans="2:31" ht="15.6" x14ac:dyDescent="0.3">
      <c r="B81" s="8">
        <v>67</v>
      </c>
      <c r="C81" s="47" t="s">
        <v>105</v>
      </c>
      <c r="D81" s="48"/>
      <c r="E81" s="48"/>
      <c r="F81" s="48"/>
      <c r="G81" s="48"/>
      <c r="H81" s="48"/>
      <c r="I81" s="48"/>
      <c r="J81" s="47"/>
      <c r="K81" s="48"/>
      <c r="L81" s="48"/>
      <c r="M81" s="48"/>
      <c r="N81" s="48"/>
      <c r="O81" s="47"/>
      <c r="P81" s="48"/>
      <c r="Q81" s="48"/>
      <c r="R81" s="49"/>
      <c r="S81" s="56">
        <v>2</v>
      </c>
      <c r="T81" s="57">
        <v>0</v>
      </c>
      <c r="U81" s="57">
        <v>2</v>
      </c>
      <c r="V81" s="57">
        <v>4</v>
      </c>
      <c r="W81" s="60">
        <v>6</v>
      </c>
      <c r="X81" s="26">
        <f t="shared" si="9"/>
        <v>14</v>
      </c>
      <c r="Y81" s="63">
        <v>16</v>
      </c>
      <c r="Z81" s="66">
        <v>6</v>
      </c>
      <c r="AA81" s="66">
        <v>8</v>
      </c>
      <c r="AB81" s="66">
        <v>4</v>
      </c>
      <c r="AC81" s="26">
        <f t="shared" si="7"/>
        <v>18</v>
      </c>
      <c r="AD81" s="25">
        <v>5</v>
      </c>
      <c r="AE81" s="28">
        <f t="shared" si="8"/>
        <v>53</v>
      </c>
    </row>
    <row r="82" spans="2:31" ht="15.6" x14ac:dyDescent="0.3">
      <c r="B82" s="8">
        <v>68</v>
      </c>
      <c r="C82" s="48" t="s">
        <v>106</v>
      </c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56">
        <v>2</v>
      </c>
      <c r="T82" s="57">
        <v>5</v>
      </c>
      <c r="U82" s="57">
        <v>0</v>
      </c>
      <c r="V82" s="57">
        <v>5</v>
      </c>
      <c r="W82" s="60">
        <v>2</v>
      </c>
      <c r="X82" s="26">
        <f t="shared" si="9"/>
        <v>14</v>
      </c>
      <c r="Y82" s="63">
        <v>18</v>
      </c>
      <c r="Z82" s="66">
        <v>4</v>
      </c>
      <c r="AA82" s="66">
        <v>0</v>
      </c>
      <c r="AB82" s="66">
        <v>2</v>
      </c>
      <c r="AC82" s="26">
        <f t="shared" si="7"/>
        <v>6</v>
      </c>
      <c r="AD82" s="25">
        <v>2</v>
      </c>
      <c r="AE82" s="28">
        <f t="shared" si="8"/>
        <v>40</v>
      </c>
    </row>
    <row r="83" spans="2:31" ht="15.6" x14ac:dyDescent="0.3">
      <c r="B83" s="8">
        <v>69</v>
      </c>
      <c r="C83" s="48" t="s">
        <v>107</v>
      </c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56">
        <v>5</v>
      </c>
      <c r="T83" s="57">
        <v>6</v>
      </c>
      <c r="U83" s="57">
        <v>6</v>
      </c>
      <c r="V83" s="57">
        <v>5</v>
      </c>
      <c r="W83" s="60">
        <v>4</v>
      </c>
      <c r="X83" s="26">
        <f t="shared" si="9"/>
        <v>26</v>
      </c>
      <c r="Y83" s="63">
        <v>16</v>
      </c>
      <c r="Z83" s="66">
        <v>8</v>
      </c>
      <c r="AA83" s="66">
        <v>8</v>
      </c>
      <c r="AB83" s="66">
        <v>3</v>
      </c>
      <c r="AC83" s="26">
        <f t="shared" si="7"/>
        <v>19</v>
      </c>
      <c r="AD83" s="25">
        <v>5</v>
      </c>
      <c r="AE83" s="28">
        <f t="shared" si="8"/>
        <v>66</v>
      </c>
    </row>
    <row r="84" spans="2:31" ht="15.6" x14ac:dyDescent="0.3">
      <c r="B84" s="8">
        <v>70</v>
      </c>
      <c r="C84" s="48" t="s">
        <v>108</v>
      </c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56">
        <v>6</v>
      </c>
      <c r="T84" s="57">
        <v>6</v>
      </c>
      <c r="U84" s="57">
        <v>6</v>
      </c>
      <c r="V84" s="57">
        <v>6</v>
      </c>
      <c r="W84" s="60">
        <v>4</v>
      </c>
      <c r="X84" s="26">
        <f t="shared" si="9"/>
        <v>28</v>
      </c>
      <c r="Y84" s="63">
        <v>16</v>
      </c>
      <c r="Z84" s="66">
        <v>8</v>
      </c>
      <c r="AA84" s="66">
        <v>8</v>
      </c>
      <c r="AB84" s="66">
        <v>3</v>
      </c>
      <c r="AC84" s="26">
        <f t="shared" si="7"/>
        <v>19</v>
      </c>
      <c r="AD84" s="25">
        <v>5</v>
      </c>
      <c r="AE84" s="28">
        <f t="shared" si="8"/>
        <v>68</v>
      </c>
    </row>
    <row r="85" spans="2:31" ht="15.6" x14ac:dyDescent="0.3">
      <c r="B85" s="8">
        <v>71</v>
      </c>
      <c r="C85" s="48" t="s">
        <v>109</v>
      </c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56">
        <v>6</v>
      </c>
      <c r="T85" s="57">
        <v>4</v>
      </c>
      <c r="U85" s="57">
        <v>6</v>
      </c>
      <c r="V85" s="57">
        <v>6</v>
      </c>
      <c r="W85" s="60">
        <v>6</v>
      </c>
      <c r="X85" s="26">
        <f t="shared" si="9"/>
        <v>28</v>
      </c>
      <c r="Y85" s="63">
        <v>11</v>
      </c>
      <c r="Z85" s="66">
        <v>8</v>
      </c>
      <c r="AA85" s="66">
        <v>8</v>
      </c>
      <c r="AB85" s="66">
        <v>4</v>
      </c>
      <c r="AC85" s="26">
        <f t="shared" si="7"/>
        <v>20</v>
      </c>
      <c r="AD85" s="25">
        <v>5</v>
      </c>
      <c r="AE85" s="28">
        <f t="shared" si="8"/>
        <v>64</v>
      </c>
    </row>
    <row r="86" spans="2:31" ht="15.6" x14ac:dyDescent="0.3">
      <c r="B86" s="8">
        <v>72</v>
      </c>
      <c r="C86" s="48" t="s">
        <v>110</v>
      </c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56">
        <v>6</v>
      </c>
      <c r="T86" s="57">
        <v>4</v>
      </c>
      <c r="U86" s="57">
        <v>2</v>
      </c>
      <c r="V86" s="57">
        <v>5</v>
      </c>
      <c r="W86" s="60">
        <v>5</v>
      </c>
      <c r="X86" s="26">
        <f t="shared" si="9"/>
        <v>22</v>
      </c>
      <c r="Y86" s="63">
        <v>17</v>
      </c>
      <c r="Z86" s="66">
        <v>3</v>
      </c>
      <c r="AA86" s="66">
        <v>4</v>
      </c>
      <c r="AB86" s="66">
        <v>3</v>
      </c>
      <c r="AC86" s="26">
        <f t="shared" si="7"/>
        <v>10</v>
      </c>
      <c r="AD86" s="25">
        <v>5</v>
      </c>
      <c r="AE86" s="28">
        <f t="shared" si="8"/>
        <v>54</v>
      </c>
    </row>
    <row r="87" spans="2:31" ht="15.6" x14ac:dyDescent="0.3">
      <c r="B87" s="8">
        <v>73</v>
      </c>
      <c r="C87" s="48" t="s">
        <v>111</v>
      </c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56">
        <v>6</v>
      </c>
      <c r="T87" s="57">
        <v>6</v>
      </c>
      <c r="U87" s="57">
        <v>6</v>
      </c>
      <c r="V87" s="57">
        <v>6</v>
      </c>
      <c r="W87" s="60">
        <v>6</v>
      </c>
      <c r="X87" s="26">
        <f t="shared" si="9"/>
        <v>30</v>
      </c>
      <c r="Y87" s="63">
        <v>8</v>
      </c>
      <c r="Z87" s="66">
        <v>8</v>
      </c>
      <c r="AA87" s="66">
        <v>8</v>
      </c>
      <c r="AB87" s="66">
        <v>0</v>
      </c>
      <c r="AC87" s="26">
        <f t="shared" si="7"/>
        <v>16</v>
      </c>
      <c r="AD87" s="25">
        <v>5</v>
      </c>
      <c r="AE87" s="28">
        <f t="shared" si="8"/>
        <v>59</v>
      </c>
    </row>
    <row r="88" spans="2:31" ht="15.6" x14ac:dyDescent="0.3">
      <c r="B88" s="8">
        <v>74</v>
      </c>
      <c r="C88" s="48" t="s">
        <v>112</v>
      </c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56">
        <v>5</v>
      </c>
      <c r="T88" s="57">
        <v>5</v>
      </c>
      <c r="U88" s="57">
        <v>6</v>
      </c>
      <c r="V88" s="57">
        <v>6</v>
      </c>
      <c r="W88" s="60">
        <v>4</v>
      </c>
      <c r="X88" s="26">
        <f t="shared" si="9"/>
        <v>26</v>
      </c>
      <c r="Y88" s="63">
        <v>16</v>
      </c>
      <c r="Z88" s="66">
        <v>5</v>
      </c>
      <c r="AA88" s="66">
        <v>5</v>
      </c>
      <c r="AB88" s="66">
        <v>4</v>
      </c>
      <c r="AC88" s="26">
        <f t="shared" si="7"/>
        <v>14</v>
      </c>
      <c r="AD88" s="25">
        <v>5</v>
      </c>
      <c r="AE88" s="28">
        <f t="shared" si="8"/>
        <v>61</v>
      </c>
    </row>
    <row r="89" spans="2:31" ht="15.6" x14ac:dyDescent="0.3">
      <c r="B89" s="8">
        <v>75</v>
      </c>
      <c r="C89" s="48" t="s">
        <v>113</v>
      </c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56">
        <v>3</v>
      </c>
      <c r="T89" s="57">
        <v>2</v>
      </c>
      <c r="U89" s="57">
        <v>3</v>
      </c>
      <c r="V89" s="57">
        <v>5</v>
      </c>
      <c r="W89" s="60">
        <v>6</v>
      </c>
      <c r="X89" s="26">
        <f t="shared" si="9"/>
        <v>19</v>
      </c>
      <c r="Y89" s="63">
        <v>17</v>
      </c>
      <c r="Z89" s="66">
        <v>7</v>
      </c>
      <c r="AA89" s="66">
        <v>4</v>
      </c>
      <c r="AB89" s="66">
        <v>3</v>
      </c>
      <c r="AC89" s="26">
        <f t="shared" si="7"/>
        <v>14</v>
      </c>
      <c r="AD89" s="25">
        <v>5</v>
      </c>
      <c r="AE89" s="28">
        <f t="shared" si="8"/>
        <v>55</v>
      </c>
    </row>
    <row r="90" spans="2:31" ht="15.6" x14ac:dyDescent="0.3">
      <c r="B90" s="8">
        <v>76</v>
      </c>
      <c r="C90" s="48" t="s">
        <v>114</v>
      </c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56">
        <v>4</v>
      </c>
      <c r="T90" s="57">
        <v>0</v>
      </c>
      <c r="U90" s="57">
        <v>0</v>
      </c>
      <c r="V90" s="57">
        <v>3</v>
      </c>
      <c r="W90" s="60">
        <v>0</v>
      </c>
      <c r="X90" s="26">
        <f t="shared" si="9"/>
        <v>7</v>
      </c>
      <c r="Y90" s="63">
        <v>8</v>
      </c>
      <c r="Z90" s="66">
        <v>6</v>
      </c>
      <c r="AA90" s="66">
        <v>4</v>
      </c>
      <c r="AB90" s="66">
        <v>2</v>
      </c>
      <c r="AC90" s="26">
        <f t="shared" si="7"/>
        <v>12</v>
      </c>
      <c r="AD90" s="25">
        <v>5</v>
      </c>
      <c r="AE90" s="28">
        <f t="shared" si="8"/>
        <v>32</v>
      </c>
    </row>
    <row r="91" spans="2:31" ht="15.6" x14ac:dyDescent="0.3">
      <c r="B91" s="8">
        <v>77</v>
      </c>
      <c r="C91" s="48" t="s">
        <v>115</v>
      </c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56">
        <v>6</v>
      </c>
      <c r="T91" s="57">
        <v>0</v>
      </c>
      <c r="U91" s="57">
        <v>0</v>
      </c>
      <c r="V91" s="57">
        <v>0</v>
      </c>
      <c r="W91" s="60">
        <v>0</v>
      </c>
      <c r="X91" s="26">
        <f t="shared" si="9"/>
        <v>6</v>
      </c>
      <c r="Y91" s="63">
        <v>16</v>
      </c>
      <c r="Z91" s="66">
        <v>0</v>
      </c>
      <c r="AA91" s="66">
        <v>0</v>
      </c>
      <c r="AB91" s="66">
        <v>0</v>
      </c>
      <c r="AC91" s="26">
        <f t="shared" si="7"/>
        <v>0</v>
      </c>
      <c r="AD91" s="25">
        <v>5</v>
      </c>
      <c r="AE91" s="28">
        <f t="shared" si="8"/>
        <v>27</v>
      </c>
    </row>
    <row r="92" spans="2:31" ht="15.6" x14ac:dyDescent="0.3">
      <c r="B92" s="8">
        <v>78</v>
      </c>
      <c r="C92" s="48" t="s">
        <v>116</v>
      </c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56">
        <v>3</v>
      </c>
      <c r="T92" s="57">
        <v>4</v>
      </c>
      <c r="U92" s="57">
        <v>0</v>
      </c>
      <c r="V92" s="57">
        <v>0</v>
      </c>
      <c r="W92" s="60">
        <v>0</v>
      </c>
      <c r="X92" s="26">
        <f t="shared" si="9"/>
        <v>7</v>
      </c>
      <c r="Y92" s="63">
        <v>15</v>
      </c>
      <c r="Z92" s="66">
        <v>2</v>
      </c>
      <c r="AA92" s="66">
        <v>0</v>
      </c>
      <c r="AB92" s="66">
        <v>0</v>
      </c>
      <c r="AC92" s="26">
        <f t="shared" si="7"/>
        <v>2</v>
      </c>
      <c r="AD92" s="25">
        <v>5</v>
      </c>
      <c r="AE92" s="28">
        <f t="shared" si="8"/>
        <v>29</v>
      </c>
    </row>
    <row r="93" spans="2:31" ht="15.6" x14ac:dyDescent="0.3">
      <c r="B93" s="8">
        <v>79</v>
      </c>
      <c r="C93" s="48" t="s">
        <v>117</v>
      </c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56">
        <v>4</v>
      </c>
      <c r="T93" s="57">
        <v>5</v>
      </c>
      <c r="U93" s="57">
        <v>5</v>
      </c>
      <c r="V93" s="57">
        <v>5</v>
      </c>
      <c r="W93" s="60">
        <v>6</v>
      </c>
      <c r="X93" s="26">
        <f t="shared" si="9"/>
        <v>25</v>
      </c>
      <c r="Y93" s="63">
        <v>8</v>
      </c>
      <c r="Z93" s="66">
        <v>8</v>
      </c>
      <c r="AA93" s="66">
        <v>8</v>
      </c>
      <c r="AB93" s="66">
        <v>3</v>
      </c>
      <c r="AC93" s="26">
        <f t="shared" si="7"/>
        <v>19</v>
      </c>
      <c r="AD93" s="25">
        <v>5</v>
      </c>
      <c r="AE93" s="28">
        <f t="shared" si="8"/>
        <v>57</v>
      </c>
    </row>
    <row r="94" spans="2:31" ht="15.6" x14ac:dyDescent="0.3">
      <c r="B94" s="8">
        <v>80</v>
      </c>
      <c r="C94" s="48" t="s">
        <v>118</v>
      </c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56">
        <v>3</v>
      </c>
      <c r="T94" s="57">
        <v>2</v>
      </c>
      <c r="U94" s="57">
        <v>0</v>
      </c>
      <c r="V94" s="57">
        <v>0</v>
      </c>
      <c r="W94" s="60">
        <v>0</v>
      </c>
      <c r="X94" s="26">
        <f t="shared" si="9"/>
        <v>5</v>
      </c>
      <c r="Y94" s="63">
        <v>16</v>
      </c>
      <c r="Z94" s="66">
        <v>4</v>
      </c>
      <c r="AA94" s="66">
        <v>8</v>
      </c>
      <c r="AB94" s="66">
        <v>3</v>
      </c>
      <c r="AC94" s="26">
        <f t="shared" si="7"/>
        <v>15</v>
      </c>
      <c r="AD94" s="25">
        <v>2</v>
      </c>
      <c r="AE94" s="28">
        <f t="shared" si="8"/>
        <v>38</v>
      </c>
    </row>
    <row r="95" spans="2:31" ht="15.6" x14ac:dyDescent="0.3">
      <c r="B95" s="8">
        <v>81</v>
      </c>
      <c r="C95" s="48" t="s">
        <v>119</v>
      </c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56">
        <v>5</v>
      </c>
      <c r="T95" s="57">
        <v>5</v>
      </c>
      <c r="U95" s="57">
        <v>4</v>
      </c>
      <c r="V95" s="57">
        <v>4</v>
      </c>
      <c r="W95" s="60">
        <v>4</v>
      </c>
      <c r="X95" s="26">
        <f t="shared" si="9"/>
        <v>22</v>
      </c>
      <c r="Y95" s="63">
        <v>15</v>
      </c>
      <c r="Z95" s="66">
        <v>8</v>
      </c>
      <c r="AA95" s="66">
        <v>8</v>
      </c>
      <c r="AB95" s="66">
        <v>4</v>
      </c>
      <c r="AC95" s="26">
        <f t="shared" si="7"/>
        <v>20</v>
      </c>
      <c r="AD95" s="25">
        <v>5</v>
      </c>
      <c r="AE95" s="28">
        <f t="shared" si="8"/>
        <v>62</v>
      </c>
    </row>
    <row r="96" spans="2:31" ht="15.6" x14ac:dyDescent="0.3">
      <c r="B96" s="8">
        <v>82</v>
      </c>
      <c r="C96" s="48" t="s">
        <v>120</v>
      </c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56">
        <v>5</v>
      </c>
      <c r="T96" s="57">
        <v>5</v>
      </c>
      <c r="U96" s="57">
        <v>5</v>
      </c>
      <c r="V96" s="57">
        <v>5</v>
      </c>
      <c r="W96" s="60">
        <v>6</v>
      </c>
      <c r="X96" s="26">
        <f t="shared" si="9"/>
        <v>26</v>
      </c>
      <c r="Y96" s="63">
        <v>13</v>
      </c>
      <c r="Z96" s="66">
        <v>8</v>
      </c>
      <c r="AA96" s="66">
        <v>8</v>
      </c>
      <c r="AB96" s="66">
        <v>2</v>
      </c>
      <c r="AC96" s="26">
        <f t="shared" si="7"/>
        <v>18</v>
      </c>
      <c r="AD96" s="25">
        <v>5</v>
      </c>
      <c r="AE96" s="28">
        <f t="shared" si="8"/>
        <v>62</v>
      </c>
    </row>
    <row r="97" spans="2:31" ht="15.6" x14ac:dyDescent="0.3">
      <c r="B97" s="8">
        <v>83</v>
      </c>
      <c r="C97" s="48" t="s">
        <v>121</v>
      </c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56">
        <v>6</v>
      </c>
      <c r="T97" s="57">
        <v>6</v>
      </c>
      <c r="U97" s="57">
        <v>6</v>
      </c>
      <c r="V97" s="57">
        <v>5</v>
      </c>
      <c r="W97" s="60">
        <v>6</v>
      </c>
      <c r="X97" s="26">
        <f t="shared" si="9"/>
        <v>29</v>
      </c>
      <c r="Y97" s="63">
        <v>15</v>
      </c>
      <c r="Z97" s="66">
        <v>8</v>
      </c>
      <c r="AA97" s="66">
        <v>8</v>
      </c>
      <c r="AB97" s="66">
        <v>3</v>
      </c>
      <c r="AC97" s="26">
        <f t="shared" si="7"/>
        <v>19</v>
      </c>
      <c r="AD97" s="25">
        <v>5</v>
      </c>
      <c r="AE97" s="28">
        <f t="shared" si="8"/>
        <v>68</v>
      </c>
    </row>
    <row r="98" spans="2:31" ht="15.6" x14ac:dyDescent="0.3">
      <c r="B98" s="8">
        <v>84</v>
      </c>
      <c r="C98" s="48" t="s">
        <v>122</v>
      </c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56">
        <v>2</v>
      </c>
      <c r="T98" s="57">
        <v>5</v>
      </c>
      <c r="U98" s="57">
        <v>4</v>
      </c>
      <c r="V98" s="57">
        <v>5</v>
      </c>
      <c r="W98" s="60">
        <v>0</v>
      </c>
      <c r="X98" s="26">
        <f t="shared" si="9"/>
        <v>16</v>
      </c>
      <c r="Y98" s="63">
        <v>14</v>
      </c>
      <c r="Z98" s="66">
        <v>7</v>
      </c>
      <c r="AA98" s="66">
        <v>4</v>
      </c>
      <c r="AB98" s="66">
        <v>4</v>
      </c>
      <c r="AC98" s="26">
        <f t="shared" si="7"/>
        <v>15</v>
      </c>
      <c r="AD98" s="25">
        <v>5</v>
      </c>
      <c r="AE98" s="28">
        <f t="shared" si="8"/>
        <v>50</v>
      </c>
    </row>
    <row r="99" spans="2:31" ht="15.6" x14ac:dyDescent="0.3">
      <c r="B99" s="8">
        <v>85</v>
      </c>
      <c r="C99" s="48" t="s">
        <v>123</v>
      </c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56">
        <v>5</v>
      </c>
      <c r="T99" s="57">
        <v>5</v>
      </c>
      <c r="U99" s="57">
        <v>4</v>
      </c>
      <c r="V99" s="57">
        <v>5</v>
      </c>
      <c r="W99" s="60">
        <v>6</v>
      </c>
      <c r="X99" s="26">
        <f t="shared" si="9"/>
        <v>25</v>
      </c>
      <c r="Y99" s="63">
        <v>18</v>
      </c>
      <c r="Z99" s="66">
        <v>6</v>
      </c>
      <c r="AA99" s="66">
        <v>6</v>
      </c>
      <c r="AB99" s="66">
        <v>2</v>
      </c>
      <c r="AC99" s="26">
        <f t="shared" si="7"/>
        <v>14</v>
      </c>
      <c r="AD99" s="25">
        <v>5</v>
      </c>
      <c r="AE99" s="28">
        <f t="shared" si="8"/>
        <v>62</v>
      </c>
    </row>
    <row r="100" spans="2:31" ht="15.6" x14ac:dyDescent="0.3">
      <c r="B100" s="8">
        <v>86</v>
      </c>
      <c r="C100" s="48" t="s">
        <v>124</v>
      </c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56">
        <v>5</v>
      </c>
      <c r="T100" s="57">
        <v>4</v>
      </c>
      <c r="U100" s="57">
        <v>6</v>
      </c>
      <c r="V100" s="57">
        <v>6</v>
      </c>
      <c r="W100" s="60">
        <v>6</v>
      </c>
      <c r="X100" s="26">
        <f t="shared" si="9"/>
        <v>27</v>
      </c>
      <c r="Y100" s="63">
        <v>15</v>
      </c>
      <c r="Z100" s="66">
        <v>8</v>
      </c>
      <c r="AA100" s="66">
        <v>8</v>
      </c>
      <c r="AB100" s="66">
        <v>3</v>
      </c>
      <c r="AC100" s="26">
        <f t="shared" si="7"/>
        <v>19</v>
      </c>
      <c r="AD100" s="25">
        <v>5</v>
      </c>
      <c r="AE100" s="28">
        <f t="shared" si="8"/>
        <v>66</v>
      </c>
    </row>
    <row r="101" spans="2:31" ht="15.6" x14ac:dyDescent="0.3">
      <c r="B101" s="8">
        <v>87</v>
      </c>
      <c r="C101" s="48" t="s">
        <v>125</v>
      </c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56">
        <v>4</v>
      </c>
      <c r="T101" s="57">
        <v>6</v>
      </c>
      <c r="U101" s="57">
        <v>5</v>
      </c>
      <c r="V101" s="57">
        <v>2</v>
      </c>
      <c r="W101" s="60">
        <v>2</v>
      </c>
      <c r="X101" s="26">
        <f t="shared" si="9"/>
        <v>19</v>
      </c>
      <c r="Y101" s="63">
        <v>11</v>
      </c>
      <c r="Z101" s="66">
        <v>6</v>
      </c>
      <c r="AA101" s="66">
        <v>8</v>
      </c>
      <c r="AB101" s="66">
        <v>2</v>
      </c>
      <c r="AC101" s="26">
        <f t="shared" si="7"/>
        <v>16</v>
      </c>
      <c r="AD101" s="25">
        <v>5</v>
      </c>
      <c r="AE101" s="28">
        <f t="shared" si="8"/>
        <v>51</v>
      </c>
    </row>
    <row r="102" spans="2:31" ht="15.6" x14ac:dyDescent="0.3">
      <c r="B102" s="8">
        <v>88</v>
      </c>
      <c r="C102" s="48" t="s">
        <v>126</v>
      </c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56">
        <v>3</v>
      </c>
      <c r="T102" s="57">
        <v>3</v>
      </c>
      <c r="U102" s="57">
        <v>0</v>
      </c>
      <c r="V102" s="57">
        <v>0</v>
      </c>
      <c r="W102" s="60">
        <v>0</v>
      </c>
      <c r="X102" s="26">
        <f t="shared" si="9"/>
        <v>6</v>
      </c>
      <c r="Y102" s="63">
        <v>14</v>
      </c>
      <c r="Z102" s="66">
        <v>0</v>
      </c>
      <c r="AA102" s="66">
        <v>8</v>
      </c>
      <c r="AB102" s="66">
        <v>0</v>
      </c>
      <c r="AC102" s="26">
        <f t="shared" si="7"/>
        <v>8</v>
      </c>
      <c r="AD102" s="25">
        <v>5</v>
      </c>
      <c r="AE102" s="28">
        <f t="shared" si="8"/>
        <v>33</v>
      </c>
    </row>
    <row r="103" spans="2:31" ht="15.6" x14ac:dyDescent="0.3">
      <c r="B103" s="8">
        <v>89</v>
      </c>
      <c r="C103" s="48" t="s">
        <v>127</v>
      </c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56">
        <v>5</v>
      </c>
      <c r="T103" s="57">
        <v>5</v>
      </c>
      <c r="U103" s="57">
        <v>5</v>
      </c>
      <c r="V103" s="57">
        <v>5</v>
      </c>
      <c r="W103" s="60">
        <v>6</v>
      </c>
      <c r="X103" s="26">
        <f t="shared" si="9"/>
        <v>26</v>
      </c>
      <c r="Y103" s="63">
        <v>7</v>
      </c>
      <c r="Z103" s="66">
        <v>8</v>
      </c>
      <c r="AA103" s="66">
        <v>8</v>
      </c>
      <c r="AB103" s="66">
        <v>3</v>
      </c>
      <c r="AC103" s="26">
        <f t="shared" si="7"/>
        <v>19</v>
      </c>
      <c r="AD103" s="25">
        <v>5</v>
      </c>
      <c r="AE103" s="28">
        <f t="shared" si="8"/>
        <v>57</v>
      </c>
    </row>
    <row r="104" spans="2:31" ht="15.6" x14ac:dyDescent="0.3">
      <c r="B104" s="8">
        <v>90</v>
      </c>
      <c r="C104" s="48" t="s">
        <v>128</v>
      </c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56">
        <v>5</v>
      </c>
      <c r="T104" s="57">
        <v>5</v>
      </c>
      <c r="U104" s="57">
        <v>6</v>
      </c>
      <c r="V104" s="57">
        <v>6</v>
      </c>
      <c r="W104" s="60">
        <v>2</v>
      </c>
      <c r="X104" s="26">
        <f t="shared" si="9"/>
        <v>24</v>
      </c>
      <c r="Y104" s="63">
        <v>15</v>
      </c>
      <c r="Z104" s="66">
        <v>8</v>
      </c>
      <c r="AA104" s="66">
        <v>6</v>
      </c>
      <c r="AB104" s="66">
        <v>0</v>
      </c>
      <c r="AC104" s="26">
        <f t="shared" si="7"/>
        <v>14</v>
      </c>
      <c r="AD104" s="25">
        <v>5</v>
      </c>
      <c r="AE104" s="28">
        <f t="shared" si="8"/>
        <v>58</v>
      </c>
    </row>
    <row r="105" spans="2:31" ht="15.6" x14ac:dyDescent="0.3">
      <c r="B105" s="8">
        <v>91</v>
      </c>
      <c r="C105" s="48" t="s">
        <v>129</v>
      </c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56">
        <v>0</v>
      </c>
      <c r="T105" s="57">
        <v>5</v>
      </c>
      <c r="U105" s="57">
        <v>4</v>
      </c>
      <c r="V105" s="57">
        <v>5</v>
      </c>
      <c r="W105" s="60">
        <v>0</v>
      </c>
      <c r="X105" s="26">
        <f t="shared" si="9"/>
        <v>14</v>
      </c>
      <c r="Y105" s="63">
        <v>16</v>
      </c>
      <c r="Z105" s="66">
        <v>6</v>
      </c>
      <c r="AA105" s="66">
        <v>4</v>
      </c>
      <c r="AB105" s="66">
        <v>0</v>
      </c>
      <c r="AC105" s="26">
        <f t="shared" si="7"/>
        <v>10</v>
      </c>
      <c r="AD105" s="25">
        <v>5</v>
      </c>
      <c r="AE105" s="28">
        <f t="shared" si="8"/>
        <v>45</v>
      </c>
    </row>
    <row r="106" spans="2:31" ht="15.6" x14ac:dyDescent="0.3">
      <c r="B106" s="8">
        <v>92</v>
      </c>
      <c r="C106" s="48" t="s">
        <v>130</v>
      </c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56">
        <v>5</v>
      </c>
      <c r="T106" s="57">
        <v>6</v>
      </c>
      <c r="U106" s="57">
        <v>6</v>
      </c>
      <c r="V106" s="57">
        <v>6</v>
      </c>
      <c r="W106" s="60">
        <v>6</v>
      </c>
      <c r="X106" s="26">
        <f t="shared" si="9"/>
        <v>29</v>
      </c>
      <c r="Y106" s="63">
        <v>18</v>
      </c>
      <c r="Z106" s="66">
        <v>8</v>
      </c>
      <c r="AA106" s="66">
        <v>8</v>
      </c>
      <c r="AB106" s="66">
        <v>4</v>
      </c>
      <c r="AC106" s="26">
        <f t="shared" si="7"/>
        <v>20</v>
      </c>
      <c r="AD106" s="25">
        <v>5</v>
      </c>
      <c r="AE106" s="28">
        <f t="shared" si="8"/>
        <v>72</v>
      </c>
    </row>
    <row r="107" spans="2:31" ht="15.6" x14ac:dyDescent="0.3">
      <c r="B107" s="8">
        <v>93</v>
      </c>
      <c r="C107" s="48" t="s">
        <v>131</v>
      </c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56">
        <v>5</v>
      </c>
      <c r="T107" s="57">
        <v>6</v>
      </c>
      <c r="U107" s="57">
        <v>5</v>
      </c>
      <c r="V107" s="57">
        <v>6</v>
      </c>
      <c r="W107" s="60">
        <v>6</v>
      </c>
      <c r="X107" s="26">
        <f t="shared" si="9"/>
        <v>28</v>
      </c>
      <c r="Y107" s="63">
        <v>16</v>
      </c>
      <c r="Z107" s="66">
        <v>8</v>
      </c>
      <c r="AA107" s="66">
        <v>8</v>
      </c>
      <c r="AB107" s="66">
        <v>4</v>
      </c>
      <c r="AC107" s="26">
        <f t="shared" si="7"/>
        <v>20</v>
      </c>
      <c r="AD107" s="25">
        <v>5</v>
      </c>
      <c r="AE107" s="28">
        <f t="shared" si="8"/>
        <v>69</v>
      </c>
    </row>
    <row r="108" spans="2:31" ht="15.6" x14ac:dyDescent="0.3">
      <c r="B108" s="8">
        <v>94</v>
      </c>
      <c r="C108" s="48" t="s">
        <v>132</v>
      </c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56">
        <v>4</v>
      </c>
      <c r="T108" s="57">
        <v>5</v>
      </c>
      <c r="U108" s="57">
        <v>6</v>
      </c>
      <c r="V108" s="57">
        <v>6</v>
      </c>
      <c r="W108" s="60">
        <v>0</v>
      </c>
      <c r="X108" s="26">
        <f t="shared" si="9"/>
        <v>21</v>
      </c>
      <c r="Y108" s="63">
        <v>12</v>
      </c>
      <c r="Z108" s="66">
        <v>6</v>
      </c>
      <c r="AA108" s="66">
        <v>8</v>
      </c>
      <c r="AB108" s="66">
        <v>4</v>
      </c>
      <c r="AC108" s="26">
        <f t="shared" si="7"/>
        <v>18</v>
      </c>
      <c r="AD108" s="25">
        <v>5</v>
      </c>
      <c r="AE108" s="28">
        <f t="shared" si="8"/>
        <v>56</v>
      </c>
    </row>
    <row r="109" spans="2:31" ht="15.6" x14ac:dyDescent="0.3">
      <c r="B109" s="8">
        <v>95</v>
      </c>
      <c r="C109" s="48" t="s">
        <v>133</v>
      </c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56">
        <v>5</v>
      </c>
      <c r="T109" s="57">
        <v>6</v>
      </c>
      <c r="U109" s="57">
        <v>6</v>
      </c>
      <c r="V109" s="57">
        <v>4</v>
      </c>
      <c r="W109" s="60">
        <v>6</v>
      </c>
      <c r="X109" s="26">
        <f t="shared" si="9"/>
        <v>27</v>
      </c>
      <c r="Y109" s="63">
        <v>13</v>
      </c>
      <c r="Z109" s="66">
        <v>8</v>
      </c>
      <c r="AA109" s="66">
        <v>8</v>
      </c>
      <c r="AB109" s="66">
        <v>4</v>
      </c>
      <c r="AC109" s="26">
        <f t="shared" si="7"/>
        <v>20</v>
      </c>
      <c r="AD109" s="25">
        <v>5</v>
      </c>
      <c r="AE109" s="28">
        <f t="shared" si="8"/>
        <v>65</v>
      </c>
    </row>
    <row r="110" spans="2:31" ht="15.6" x14ac:dyDescent="0.3">
      <c r="B110" s="8">
        <v>96</v>
      </c>
      <c r="C110" s="48" t="s">
        <v>134</v>
      </c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56">
        <v>4</v>
      </c>
      <c r="T110" s="57">
        <v>5</v>
      </c>
      <c r="U110" s="57">
        <v>4</v>
      </c>
      <c r="V110" s="57">
        <v>5</v>
      </c>
      <c r="W110" s="60">
        <v>5</v>
      </c>
      <c r="X110" s="26">
        <f t="shared" si="9"/>
        <v>23</v>
      </c>
      <c r="Y110" s="63">
        <v>16</v>
      </c>
      <c r="Z110" s="66">
        <v>6</v>
      </c>
      <c r="AA110" s="66">
        <v>2</v>
      </c>
      <c r="AB110" s="66">
        <v>2</v>
      </c>
      <c r="AC110" s="26">
        <f t="shared" si="7"/>
        <v>10</v>
      </c>
      <c r="AD110" s="25">
        <v>5</v>
      </c>
      <c r="AE110" s="28">
        <f t="shared" si="8"/>
        <v>54</v>
      </c>
    </row>
    <row r="111" spans="2:31" ht="15.6" x14ac:dyDescent="0.3">
      <c r="B111" s="8">
        <v>97</v>
      </c>
      <c r="C111" s="48" t="s">
        <v>135</v>
      </c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56">
        <v>4</v>
      </c>
      <c r="T111" s="57">
        <v>5</v>
      </c>
      <c r="U111" s="57">
        <v>4</v>
      </c>
      <c r="V111" s="57">
        <v>5</v>
      </c>
      <c r="W111" s="60">
        <v>1</v>
      </c>
      <c r="X111" s="26">
        <f t="shared" si="9"/>
        <v>19</v>
      </c>
      <c r="Y111" s="63">
        <v>18</v>
      </c>
      <c r="Z111" s="66">
        <v>3</v>
      </c>
      <c r="AA111" s="66">
        <v>3</v>
      </c>
      <c r="AB111" s="66">
        <v>3</v>
      </c>
      <c r="AC111" s="26">
        <f t="shared" ref="AC111:AC142" si="10">SUM(Z111:AB111)</f>
        <v>9</v>
      </c>
      <c r="AD111" s="25">
        <v>5</v>
      </c>
      <c r="AE111" s="28">
        <f t="shared" ref="AE111:AE142" si="11">SUM(X111,Y111,AC111,AD111)</f>
        <v>51</v>
      </c>
    </row>
    <row r="112" spans="2:31" ht="15.6" x14ac:dyDescent="0.3">
      <c r="B112" s="8">
        <v>98</v>
      </c>
      <c r="C112" s="48" t="s">
        <v>136</v>
      </c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56">
        <v>4</v>
      </c>
      <c r="T112" s="57">
        <v>6</v>
      </c>
      <c r="U112" s="57">
        <v>4</v>
      </c>
      <c r="V112" s="57">
        <v>5</v>
      </c>
      <c r="W112" s="60">
        <v>1</v>
      </c>
      <c r="X112" s="26">
        <f t="shared" si="9"/>
        <v>20</v>
      </c>
      <c r="Y112" s="63">
        <v>10</v>
      </c>
      <c r="Z112" s="66">
        <v>6</v>
      </c>
      <c r="AA112" s="66">
        <v>8</v>
      </c>
      <c r="AB112" s="66">
        <v>3</v>
      </c>
      <c r="AC112" s="26">
        <f t="shared" si="10"/>
        <v>17</v>
      </c>
      <c r="AD112" s="25">
        <v>2</v>
      </c>
      <c r="AE112" s="28">
        <f t="shared" si="11"/>
        <v>49</v>
      </c>
    </row>
    <row r="113" spans="2:31" ht="15.6" x14ac:dyDescent="0.3">
      <c r="B113" s="8">
        <v>99</v>
      </c>
      <c r="C113" s="48" t="s">
        <v>137</v>
      </c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56">
        <v>4</v>
      </c>
      <c r="T113" s="57">
        <v>6</v>
      </c>
      <c r="U113" s="57">
        <v>4</v>
      </c>
      <c r="V113" s="57">
        <v>3</v>
      </c>
      <c r="W113" s="60">
        <v>2</v>
      </c>
      <c r="X113" s="26">
        <f t="shared" si="9"/>
        <v>19</v>
      </c>
      <c r="Y113" s="63">
        <v>14</v>
      </c>
      <c r="Z113" s="66">
        <v>2</v>
      </c>
      <c r="AA113" s="66">
        <v>8</v>
      </c>
      <c r="AB113" s="66">
        <v>2</v>
      </c>
      <c r="AC113" s="26">
        <f t="shared" si="10"/>
        <v>12</v>
      </c>
      <c r="AD113" s="25">
        <v>5</v>
      </c>
      <c r="AE113" s="28">
        <f t="shared" si="11"/>
        <v>50</v>
      </c>
    </row>
    <row r="114" spans="2:31" ht="15.6" x14ac:dyDescent="0.3">
      <c r="B114" s="8">
        <v>100</v>
      </c>
      <c r="C114" s="48" t="s">
        <v>138</v>
      </c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56">
        <v>3</v>
      </c>
      <c r="T114" s="57">
        <v>4</v>
      </c>
      <c r="U114" s="57">
        <v>3</v>
      </c>
      <c r="V114" s="57">
        <v>3</v>
      </c>
      <c r="W114" s="60">
        <v>0</v>
      </c>
      <c r="X114" s="26">
        <f t="shared" si="9"/>
        <v>13</v>
      </c>
      <c r="Y114" s="63">
        <v>16</v>
      </c>
      <c r="Z114" s="66">
        <v>4</v>
      </c>
      <c r="AA114" s="66">
        <v>4</v>
      </c>
      <c r="AB114" s="66">
        <v>4</v>
      </c>
      <c r="AC114" s="26">
        <f t="shared" si="10"/>
        <v>12</v>
      </c>
      <c r="AD114" s="25">
        <v>5</v>
      </c>
      <c r="AE114" s="28">
        <f t="shared" si="11"/>
        <v>46</v>
      </c>
    </row>
    <row r="115" spans="2:31" ht="15.6" x14ac:dyDescent="0.3">
      <c r="B115" s="8">
        <v>101</v>
      </c>
      <c r="C115" s="48" t="s">
        <v>139</v>
      </c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56">
        <v>4</v>
      </c>
      <c r="T115" s="57">
        <v>4</v>
      </c>
      <c r="U115" s="57">
        <v>4</v>
      </c>
      <c r="V115" s="57">
        <v>4</v>
      </c>
      <c r="W115" s="60">
        <v>2</v>
      </c>
      <c r="X115" s="26">
        <f t="shared" si="9"/>
        <v>18</v>
      </c>
      <c r="Y115" s="63">
        <v>15</v>
      </c>
      <c r="Z115" s="66">
        <v>4</v>
      </c>
      <c r="AA115" s="66">
        <v>3</v>
      </c>
      <c r="AB115" s="66">
        <v>4</v>
      </c>
      <c r="AC115" s="26">
        <f t="shared" si="10"/>
        <v>11</v>
      </c>
      <c r="AD115" s="25">
        <v>5</v>
      </c>
      <c r="AE115" s="28">
        <f t="shared" si="11"/>
        <v>49</v>
      </c>
    </row>
    <row r="116" spans="2:31" ht="15.6" x14ac:dyDescent="0.3">
      <c r="B116" s="8">
        <v>102</v>
      </c>
      <c r="C116" s="48" t="s">
        <v>140</v>
      </c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56">
        <v>4</v>
      </c>
      <c r="T116" s="57">
        <v>4</v>
      </c>
      <c r="U116" s="57">
        <v>4</v>
      </c>
      <c r="V116" s="57">
        <v>0</v>
      </c>
      <c r="W116" s="60">
        <v>2</v>
      </c>
      <c r="X116" s="26">
        <f t="shared" si="9"/>
        <v>14</v>
      </c>
      <c r="Y116" s="63">
        <v>13</v>
      </c>
      <c r="Z116" s="66">
        <v>3</v>
      </c>
      <c r="AA116" s="66">
        <v>2</v>
      </c>
      <c r="AB116" s="66">
        <v>0</v>
      </c>
      <c r="AC116" s="26">
        <f t="shared" si="10"/>
        <v>5</v>
      </c>
      <c r="AD116" s="25">
        <v>5</v>
      </c>
      <c r="AE116" s="28">
        <f t="shared" si="11"/>
        <v>37</v>
      </c>
    </row>
    <row r="117" spans="2:31" ht="15.6" x14ac:dyDescent="0.3">
      <c r="B117" s="8">
        <v>103</v>
      </c>
      <c r="C117" s="48" t="s">
        <v>141</v>
      </c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56">
        <v>6</v>
      </c>
      <c r="T117" s="57">
        <v>6</v>
      </c>
      <c r="U117" s="57">
        <v>6</v>
      </c>
      <c r="V117" s="57">
        <v>4</v>
      </c>
      <c r="W117" s="60">
        <v>6</v>
      </c>
      <c r="X117" s="26">
        <f t="shared" si="9"/>
        <v>28</v>
      </c>
      <c r="Y117" s="63">
        <v>17</v>
      </c>
      <c r="Z117" s="66">
        <v>8</v>
      </c>
      <c r="AA117" s="66">
        <v>8</v>
      </c>
      <c r="AB117" s="66">
        <v>4</v>
      </c>
      <c r="AC117" s="26">
        <f t="shared" si="10"/>
        <v>20</v>
      </c>
      <c r="AD117" s="25">
        <v>5</v>
      </c>
      <c r="AE117" s="28">
        <f t="shared" si="11"/>
        <v>70</v>
      </c>
    </row>
    <row r="118" spans="2:31" ht="15.6" x14ac:dyDescent="0.3">
      <c r="B118" s="8">
        <v>104</v>
      </c>
      <c r="C118" s="48" t="s">
        <v>142</v>
      </c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56">
        <v>6</v>
      </c>
      <c r="T118" s="57">
        <v>4</v>
      </c>
      <c r="U118" s="57">
        <v>6</v>
      </c>
      <c r="V118" s="57">
        <v>6</v>
      </c>
      <c r="W118" s="60">
        <v>6</v>
      </c>
      <c r="X118" s="26">
        <f t="shared" si="9"/>
        <v>28</v>
      </c>
      <c r="Y118" s="63">
        <v>13</v>
      </c>
      <c r="Z118" s="66">
        <v>6</v>
      </c>
      <c r="AA118" s="66">
        <v>8</v>
      </c>
      <c r="AB118" s="66">
        <v>4</v>
      </c>
      <c r="AC118" s="26">
        <f t="shared" si="10"/>
        <v>18</v>
      </c>
      <c r="AD118" s="25">
        <v>5</v>
      </c>
      <c r="AE118" s="28">
        <f t="shared" si="11"/>
        <v>64</v>
      </c>
    </row>
    <row r="119" spans="2:31" ht="15.6" x14ac:dyDescent="0.3">
      <c r="B119" s="8">
        <v>105</v>
      </c>
      <c r="C119" s="48" t="s">
        <v>143</v>
      </c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56">
        <v>5</v>
      </c>
      <c r="T119" s="57">
        <v>5</v>
      </c>
      <c r="U119" s="57">
        <v>5</v>
      </c>
      <c r="V119" s="57">
        <v>5</v>
      </c>
      <c r="W119" s="60">
        <v>6</v>
      </c>
      <c r="X119" s="26">
        <f t="shared" si="9"/>
        <v>26</v>
      </c>
      <c r="Y119" s="63">
        <v>16</v>
      </c>
      <c r="Z119" s="66">
        <v>4</v>
      </c>
      <c r="AA119" s="66">
        <v>8</v>
      </c>
      <c r="AB119" s="66">
        <v>2</v>
      </c>
      <c r="AC119" s="26">
        <f t="shared" si="10"/>
        <v>14</v>
      </c>
      <c r="AD119" s="25">
        <v>5</v>
      </c>
      <c r="AE119" s="28">
        <f t="shared" si="11"/>
        <v>61</v>
      </c>
    </row>
    <row r="120" spans="2:31" ht="15.6" x14ac:dyDescent="0.3">
      <c r="B120" s="8">
        <v>106</v>
      </c>
      <c r="C120" s="48" t="s">
        <v>144</v>
      </c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56">
        <v>5</v>
      </c>
      <c r="T120" s="57">
        <v>6</v>
      </c>
      <c r="U120" s="57">
        <v>6</v>
      </c>
      <c r="V120" s="57">
        <v>6</v>
      </c>
      <c r="W120" s="60">
        <v>6</v>
      </c>
      <c r="X120" s="26">
        <f t="shared" si="9"/>
        <v>29</v>
      </c>
      <c r="Y120" s="63">
        <v>16</v>
      </c>
      <c r="Z120" s="66">
        <v>6</v>
      </c>
      <c r="AA120" s="66">
        <v>8</v>
      </c>
      <c r="AB120" s="66">
        <v>4</v>
      </c>
      <c r="AC120" s="26">
        <f t="shared" si="10"/>
        <v>18</v>
      </c>
      <c r="AD120" s="25">
        <v>5</v>
      </c>
      <c r="AE120" s="28">
        <f t="shared" si="11"/>
        <v>68</v>
      </c>
    </row>
    <row r="121" spans="2:31" ht="15.6" x14ac:dyDescent="0.3">
      <c r="B121" s="8">
        <v>107</v>
      </c>
      <c r="C121" s="48" t="s">
        <v>145</v>
      </c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56">
        <v>4</v>
      </c>
      <c r="T121" s="57">
        <v>5</v>
      </c>
      <c r="U121" s="57">
        <v>5</v>
      </c>
      <c r="V121" s="57">
        <v>5</v>
      </c>
      <c r="W121" s="60">
        <v>2</v>
      </c>
      <c r="X121" s="26">
        <f t="shared" si="9"/>
        <v>21</v>
      </c>
      <c r="Y121" s="63">
        <v>14</v>
      </c>
      <c r="Z121" s="66">
        <v>2</v>
      </c>
      <c r="AA121" s="66">
        <v>8</v>
      </c>
      <c r="AB121" s="66">
        <v>4</v>
      </c>
      <c r="AC121" s="26">
        <f t="shared" si="10"/>
        <v>14</v>
      </c>
      <c r="AD121" s="25">
        <v>5</v>
      </c>
      <c r="AE121" s="28">
        <f t="shared" si="11"/>
        <v>54</v>
      </c>
    </row>
    <row r="122" spans="2:31" ht="15.6" x14ac:dyDescent="0.3">
      <c r="B122" s="8">
        <v>108</v>
      </c>
      <c r="C122" s="48" t="s">
        <v>146</v>
      </c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56">
        <v>5</v>
      </c>
      <c r="T122" s="57">
        <v>6</v>
      </c>
      <c r="U122" s="57">
        <v>6</v>
      </c>
      <c r="V122" s="57">
        <v>5</v>
      </c>
      <c r="W122" s="60">
        <v>2</v>
      </c>
      <c r="X122" s="26">
        <f t="shared" si="9"/>
        <v>24</v>
      </c>
      <c r="Y122" s="63">
        <v>7</v>
      </c>
      <c r="Z122" s="66">
        <v>6</v>
      </c>
      <c r="AA122" s="66">
        <v>8</v>
      </c>
      <c r="AB122" s="66">
        <v>4</v>
      </c>
      <c r="AC122" s="26">
        <f t="shared" si="10"/>
        <v>18</v>
      </c>
      <c r="AD122" s="25">
        <v>5</v>
      </c>
      <c r="AE122" s="28">
        <f t="shared" si="11"/>
        <v>54</v>
      </c>
    </row>
    <row r="123" spans="2:31" ht="15.6" x14ac:dyDescent="0.3">
      <c r="B123" s="8">
        <v>109</v>
      </c>
      <c r="C123" s="48" t="s">
        <v>147</v>
      </c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56">
        <v>5</v>
      </c>
      <c r="T123" s="57">
        <v>5</v>
      </c>
      <c r="U123" s="57">
        <v>6</v>
      </c>
      <c r="V123" s="57">
        <v>5</v>
      </c>
      <c r="W123" s="60">
        <v>6</v>
      </c>
      <c r="X123" s="26">
        <f t="shared" si="9"/>
        <v>27</v>
      </c>
      <c r="Y123" s="63">
        <v>15</v>
      </c>
      <c r="Z123" s="66">
        <v>6</v>
      </c>
      <c r="AA123" s="66">
        <v>2</v>
      </c>
      <c r="AB123" s="66">
        <v>4</v>
      </c>
      <c r="AC123" s="26">
        <f t="shared" si="10"/>
        <v>12</v>
      </c>
      <c r="AD123" s="25">
        <v>5</v>
      </c>
      <c r="AE123" s="28">
        <f t="shared" si="11"/>
        <v>59</v>
      </c>
    </row>
    <row r="124" spans="2:31" ht="15.6" x14ac:dyDescent="0.3">
      <c r="B124" s="8">
        <v>110</v>
      </c>
      <c r="C124" s="48" t="s">
        <v>148</v>
      </c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56">
        <v>5</v>
      </c>
      <c r="T124" s="57">
        <v>4</v>
      </c>
      <c r="U124" s="57">
        <v>4</v>
      </c>
      <c r="V124" s="57">
        <v>5</v>
      </c>
      <c r="W124" s="60">
        <v>6</v>
      </c>
      <c r="X124" s="26">
        <f t="shared" si="9"/>
        <v>24</v>
      </c>
      <c r="Y124" s="63">
        <v>17</v>
      </c>
      <c r="Z124" s="66">
        <v>2</v>
      </c>
      <c r="AA124" s="66">
        <v>3</v>
      </c>
      <c r="AB124" s="66">
        <v>4</v>
      </c>
      <c r="AC124" s="26">
        <f t="shared" si="10"/>
        <v>9</v>
      </c>
      <c r="AD124" s="25">
        <v>5</v>
      </c>
      <c r="AE124" s="28">
        <f t="shared" si="11"/>
        <v>55</v>
      </c>
    </row>
    <row r="125" spans="2:31" ht="15.6" x14ac:dyDescent="0.3">
      <c r="B125" s="8">
        <v>111</v>
      </c>
      <c r="C125" s="48" t="s">
        <v>149</v>
      </c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56">
        <v>5</v>
      </c>
      <c r="T125" s="57">
        <v>4</v>
      </c>
      <c r="U125" s="57">
        <v>3</v>
      </c>
      <c r="V125" s="57">
        <v>3</v>
      </c>
      <c r="W125" s="60">
        <v>1</v>
      </c>
      <c r="X125" s="26">
        <f t="shared" si="9"/>
        <v>16</v>
      </c>
      <c r="Y125" s="63">
        <v>6</v>
      </c>
      <c r="Z125" s="66">
        <v>4</v>
      </c>
      <c r="AA125" s="66">
        <v>4</v>
      </c>
      <c r="AB125" s="66">
        <v>4</v>
      </c>
      <c r="AC125" s="26">
        <f t="shared" si="10"/>
        <v>12</v>
      </c>
      <c r="AD125" s="25">
        <v>5</v>
      </c>
      <c r="AE125" s="28">
        <f t="shared" si="11"/>
        <v>39</v>
      </c>
    </row>
    <row r="126" spans="2:31" ht="15.6" x14ac:dyDescent="0.3">
      <c r="B126" s="8">
        <v>112</v>
      </c>
      <c r="C126" s="48" t="s">
        <v>150</v>
      </c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56">
        <v>4</v>
      </c>
      <c r="T126" s="57">
        <v>5</v>
      </c>
      <c r="U126" s="57">
        <v>5</v>
      </c>
      <c r="V126" s="57">
        <v>4</v>
      </c>
      <c r="W126" s="60">
        <v>6</v>
      </c>
      <c r="X126" s="26">
        <f t="shared" si="9"/>
        <v>24</v>
      </c>
      <c r="Y126" s="63">
        <v>16</v>
      </c>
      <c r="Z126" s="66">
        <v>4</v>
      </c>
      <c r="AA126" s="66">
        <v>4</v>
      </c>
      <c r="AB126" s="66">
        <v>3</v>
      </c>
      <c r="AC126" s="26">
        <f t="shared" si="10"/>
        <v>11</v>
      </c>
      <c r="AD126" s="25">
        <v>5</v>
      </c>
      <c r="AE126" s="28">
        <f t="shared" si="11"/>
        <v>56</v>
      </c>
    </row>
    <row r="127" spans="2:31" ht="15.6" x14ac:dyDescent="0.3">
      <c r="B127" s="8">
        <v>113</v>
      </c>
      <c r="C127" s="48" t="s">
        <v>151</v>
      </c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56">
        <v>6</v>
      </c>
      <c r="T127" s="57">
        <v>4</v>
      </c>
      <c r="U127" s="57">
        <v>6</v>
      </c>
      <c r="V127" s="57">
        <v>4</v>
      </c>
      <c r="W127" s="60">
        <v>4</v>
      </c>
      <c r="X127" s="26">
        <f t="shared" si="9"/>
        <v>24</v>
      </c>
      <c r="Y127" s="63">
        <v>18</v>
      </c>
      <c r="Z127" s="66">
        <v>8</v>
      </c>
      <c r="AA127" s="66">
        <v>8</v>
      </c>
      <c r="AB127" s="66">
        <v>4</v>
      </c>
      <c r="AC127" s="26">
        <f t="shared" si="10"/>
        <v>20</v>
      </c>
      <c r="AD127" s="25">
        <v>5</v>
      </c>
      <c r="AE127" s="28">
        <f t="shared" si="11"/>
        <v>67</v>
      </c>
    </row>
    <row r="128" spans="2:31" ht="15.6" x14ac:dyDescent="0.3">
      <c r="B128" s="8">
        <v>114</v>
      </c>
      <c r="C128" s="48" t="s">
        <v>152</v>
      </c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56">
        <v>3</v>
      </c>
      <c r="T128" s="57">
        <v>2</v>
      </c>
      <c r="U128" s="57">
        <v>3</v>
      </c>
      <c r="V128" s="57">
        <v>4</v>
      </c>
      <c r="W128" s="60">
        <v>2</v>
      </c>
      <c r="X128" s="26">
        <f t="shared" si="9"/>
        <v>14</v>
      </c>
      <c r="Y128" s="63">
        <v>16</v>
      </c>
      <c r="Z128" s="66">
        <v>4</v>
      </c>
      <c r="AA128" s="66">
        <v>4</v>
      </c>
      <c r="AB128" s="66">
        <v>4</v>
      </c>
      <c r="AC128" s="26">
        <f t="shared" si="10"/>
        <v>12</v>
      </c>
      <c r="AD128" s="25">
        <v>5</v>
      </c>
      <c r="AE128" s="28">
        <f t="shared" si="11"/>
        <v>47</v>
      </c>
    </row>
    <row r="129" spans="2:31" ht="15.6" x14ac:dyDescent="0.3">
      <c r="B129" s="8">
        <v>115</v>
      </c>
      <c r="C129" s="48" t="s">
        <v>153</v>
      </c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56">
        <v>3</v>
      </c>
      <c r="T129" s="57">
        <v>4</v>
      </c>
      <c r="U129" s="57">
        <v>5</v>
      </c>
      <c r="V129" s="57">
        <v>0</v>
      </c>
      <c r="W129" s="60">
        <v>6</v>
      </c>
      <c r="X129" s="26">
        <f t="shared" si="9"/>
        <v>18</v>
      </c>
      <c r="Y129" s="63">
        <v>15</v>
      </c>
      <c r="Z129" s="66">
        <v>4</v>
      </c>
      <c r="AA129" s="66">
        <v>4</v>
      </c>
      <c r="AB129" s="66">
        <v>4</v>
      </c>
      <c r="AC129" s="26">
        <f t="shared" si="10"/>
        <v>12</v>
      </c>
      <c r="AD129" s="25">
        <v>5</v>
      </c>
      <c r="AE129" s="28">
        <f t="shared" si="11"/>
        <v>50</v>
      </c>
    </row>
    <row r="130" spans="2:31" ht="15.6" x14ac:dyDescent="0.3">
      <c r="B130" s="8">
        <v>116</v>
      </c>
      <c r="C130" s="48" t="s">
        <v>154</v>
      </c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56">
        <v>4</v>
      </c>
      <c r="T130" s="57">
        <v>4</v>
      </c>
      <c r="U130" s="57">
        <v>4</v>
      </c>
      <c r="V130" s="57">
        <v>5</v>
      </c>
      <c r="W130" s="60">
        <v>6</v>
      </c>
      <c r="X130" s="26">
        <f t="shared" si="9"/>
        <v>23</v>
      </c>
      <c r="Y130" s="63">
        <v>10</v>
      </c>
      <c r="Z130" s="66">
        <v>3</v>
      </c>
      <c r="AA130" s="66">
        <v>8</v>
      </c>
      <c r="AB130" s="66">
        <v>3</v>
      </c>
      <c r="AC130" s="26">
        <f t="shared" si="10"/>
        <v>14</v>
      </c>
      <c r="AD130" s="25">
        <v>5</v>
      </c>
      <c r="AE130" s="28">
        <f t="shared" si="11"/>
        <v>52</v>
      </c>
    </row>
    <row r="131" spans="2:31" ht="15.6" x14ac:dyDescent="0.3">
      <c r="B131" s="8">
        <v>117</v>
      </c>
      <c r="C131" s="48" t="s">
        <v>155</v>
      </c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56">
        <v>3</v>
      </c>
      <c r="T131" s="57">
        <v>2</v>
      </c>
      <c r="U131" s="57">
        <v>2</v>
      </c>
      <c r="V131" s="57">
        <v>0</v>
      </c>
      <c r="W131" s="60">
        <v>3</v>
      </c>
      <c r="X131" s="26">
        <f t="shared" si="9"/>
        <v>10</v>
      </c>
      <c r="Y131" s="63">
        <v>19</v>
      </c>
      <c r="Z131" s="66">
        <v>6</v>
      </c>
      <c r="AA131" s="66">
        <v>8</v>
      </c>
      <c r="AB131" s="66">
        <v>4</v>
      </c>
      <c r="AC131" s="26">
        <f t="shared" si="10"/>
        <v>18</v>
      </c>
      <c r="AD131" s="25">
        <v>5</v>
      </c>
      <c r="AE131" s="28">
        <f t="shared" si="11"/>
        <v>52</v>
      </c>
    </row>
    <row r="132" spans="2:31" ht="15.6" x14ac:dyDescent="0.3">
      <c r="B132" s="8">
        <v>118</v>
      </c>
      <c r="C132" s="48" t="s">
        <v>156</v>
      </c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56">
        <v>2</v>
      </c>
      <c r="T132" s="57">
        <v>0</v>
      </c>
      <c r="U132" s="57">
        <v>4</v>
      </c>
      <c r="V132" s="57">
        <v>3</v>
      </c>
      <c r="W132" s="60">
        <v>0</v>
      </c>
      <c r="X132" s="26">
        <f t="shared" si="9"/>
        <v>9</v>
      </c>
      <c r="Y132" s="63">
        <v>15</v>
      </c>
      <c r="Z132" s="66">
        <v>6</v>
      </c>
      <c r="AA132" s="66">
        <v>8</v>
      </c>
      <c r="AB132" s="66">
        <v>0</v>
      </c>
      <c r="AC132" s="26">
        <f t="shared" si="10"/>
        <v>14</v>
      </c>
      <c r="AD132" s="25">
        <v>5</v>
      </c>
      <c r="AE132" s="28">
        <f t="shared" si="11"/>
        <v>43</v>
      </c>
    </row>
    <row r="133" spans="2:31" ht="15.6" x14ac:dyDescent="0.3">
      <c r="B133" s="8">
        <v>119</v>
      </c>
      <c r="C133" s="48" t="s">
        <v>157</v>
      </c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56">
        <v>6</v>
      </c>
      <c r="T133" s="57">
        <v>0</v>
      </c>
      <c r="U133" s="57">
        <v>6</v>
      </c>
      <c r="V133" s="57">
        <v>6</v>
      </c>
      <c r="W133" s="60">
        <v>0</v>
      </c>
      <c r="X133" s="26">
        <f t="shared" si="9"/>
        <v>18</v>
      </c>
      <c r="Y133" s="63">
        <v>12</v>
      </c>
      <c r="Z133" s="66">
        <v>7</v>
      </c>
      <c r="AA133" s="66">
        <v>8</v>
      </c>
      <c r="AB133" s="66">
        <v>0</v>
      </c>
      <c r="AC133" s="26">
        <f t="shared" si="10"/>
        <v>15</v>
      </c>
      <c r="AD133" s="25">
        <v>5</v>
      </c>
      <c r="AE133" s="28">
        <f t="shared" si="11"/>
        <v>50</v>
      </c>
    </row>
    <row r="134" spans="2:31" ht="15.6" x14ac:dyDescent="0.3">
      <c r="B134" s="8">
        <v>120</v>
      </c>
      <c r="C134" s="48" t="s">
        <v>158</v>
      </c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53">
        <v>4</v>
      </c>
      <c r="T134" s="54">
        <v>2</v>
      </c>
      <c r="U134" s="54">
        <v>0</v>
      </c>
      <c r="V134" s="54">
        <v>3</v>
      </c>
      <c r="W134" s="61">
        <v>6</v>
      </c>
      <c r="X134" s="26">
        <f t="shared" si="9"/>
        <v>15</v>
      </c>
      <c r="Y134" s="63">
        <v>8</v>
      </c>
      <c r="Z134" s="66">
        <v>3</v>
      </c>
      <c r="AA134" s="66">
        <v>8</v>
      </c>
      <c r="AB134" s="66">
        <v>1</v>
      </c>
      <c r="AC134" s="26">
        <f t="shared" si="10"/>
        <v>12</v>
      </c>
      <c r="AD134" s="25">
        <v>5</v>
      </c>
      <c r="AE134" s="28">
        <f t="shared" si="11"/>
        <v>40</v>
      </c>
    </row>
    <row r="135" spans="2:31" ht="15.6" x14ac:dyDescent="0.3">
      <c r="B135" s="8">
        <v>121</v>
      </c>
      <c r="C135" s="48" t="s">
        <v>159</v>
      </c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56">
        <v>6</v>
      </c>
      <c r="T135" s="57">
        <v>5</v>
      </c>
      <c r="U135" s="57">
        <v>6</v>
      </c>
      <c r="V135" s="57">
        <v>5</v>
      </c>
      <c r="W135" s="60">
        <v>2</v>
      </c>
      <c r="X135" s="26">
        <f t="shared" si="9"/>
        <v>24</v>
      </c>
      <c r="Y135" s="63">
        <v>15</v>
      </c>
      <c r="Z135" s="66">
        <v>6</v>
      </c>
      <c r="AA135" s="66">
        <v>6</v>
      </c>
      <c r="AB135" s="66">
        <v>2</v>
      </c>
      <c r="AC135" s="26">
        <f t="shared" si="10"/>
        <v>14</v>
      </c>
      <c r="AD135" s="25">
        <v>5</v>
      </c>
      <c r="AE135" s="28">
        <f t="shared" si="11"/>
        <v>58</v>
      </c>
    </row>
    <row r="136" spans="2:31" ht="15.6" x14ac:dyDescent="0.3">
      <c r="B136" s="8">
        <v>122</v>
      </c>
      <c r="C136" s="48" t="s">
        <v>160</v>
      </c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56">
        <v>5</v>
      </c>
      <c r="T136" s="57">
        <v>3</v>
      </c>
      <c r="U136" s="57">
        <v>6</v>
      </c>
      <c r="V136" s="57">
        <v>3</v>
      </c>
      <c r="W136" s="60">
        <v>0</v>
      </c>
      <c r="X136" s="26">
        <f t="shared" si="9"/>
        <v>17</v>
      </c>
      <c r="Y136" s="63">
        <v>13</v>
      </c>
      <c r="Z136" s="66">
        <v>4</v>
      </c>
      <c r="AA136" s="66">
        <v>6</v>
      </c>
      <c r="AB136" s="66">
        <v>0</v>
      </c>
      <c r="AC136" s="26">
        <f t="shared" si="10"/>
        <v>10</v>
      </c>
      <c r="AD136" s="25">
        <v>2</v>
      </c>
      <c r="AE136" s="28">
        <f t="shared" si="11"/>
        <v>42</v>
      </c>
    </row>
    <row r="137" spans="2:31" ht="15.6" x14ac:dyDescent="0.3">
      <c r="B137" s="8">
        <v>123</v>
      </c>
      <c r="C137" s="48" t="s">
        <v>161</v>
      </c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56">
        <v>6</v>
      </c>
      <c r="T137" s="57">
        <v>6</v>
      </c>
      <c r="U137" s="57">
        <v>6</v>
      </c>
      <c r="V137" s="57">
        <v>4</v>
      </c>
      <c r="W137" s="60">
        <v>6</v>
      </c>
      <c r="X137" s="26">
        <f t="shared" si="9"/>
        <v>28</v>
      </c>
      <c r="Y137" s="63">
        <v>18</v>
      </c>
      <c r="Z137" s="66">
        <v>6</v>
      </c>
      <c r="AA137" s="66">
        <v>8</v>
      </c>
      <c r="AB137" s="66">
        <v>3</v>
      </c>
      <c r="AC137" s="26">
        <f t="shared" si="10"/>
        <v>17</v>
      </c>
      <c r="AD137" s="25">
        <v>5</v>
      </c>
      <c r="AE137" s="28">
        <f t="shared" si="11"/>
        <v>68</v>
      </c>
    </row>
    <row r="138" spans="2:31" ht="15.6" x14ac:dyDescent="0.3">
      <c r="B138" s="8">
        <v>124</v>
      </c>
      <c r="C138" s="48" t="s">
        <v>162</v>
      </c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56">
        <v>6</v>
      </c>
      <c r="T138" s="57">
        <v>6</v>
      </c>
      <c r="U138" s="57">
        <v>6</v>
      </c>
      <c r="V138" s="57">
        <v>0</v>
      </c>
      <c r="W138" s="60">
        <v>6</v>
      </c>
      <c r="X138" s="26">
        <f t="shared" si="9"/>
        <v>24</v>
      </c>
      <c r="Y138" s="63">
        <v>11</v>
      </c>
      <c r="Z138" s="66">
        <v>4</v>
      </c>
      <c r="AA138" s="66">
        <v>4</v>
      </c>
      <c r="AB138" s="66">
        <v>0</v>
      </c>
      <c r="AC138" s="26">
        <f t="shared" si="10"/>
        <v>8</v>
      </c>
      <c r="AD138" s="25">
        <v>5</v>
      </c>
      <c r="AE138" s="28">
        <f t="shared" si="11"/>
        <v>48</v>
      </c>
    </row>
    <row r="139" spans="2:31" ht="15.6" x14ac:dyDescent="0.3">
      <c r="B139" s="8">
        <v>125</v>
      </c>
      <c r="C139" s="48" t="s">
        <v>163</v>
      </c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56">
        <v>4</v>
      </c>
      <c r="T139" s="57">
        <v>4</v>
      </c>
      <c r="U139" s="57">
        <v>0</v>
      </c>
      <c r="V139" s="57">
        <v>4</v>
      </c>
      <c r="W139" s="60">
        <v>4</v>
      </c>
      <c r="X139" s="26">
        <f t="shared" si="9"/>
        <v>16</v>
      </c>
      <c r="Y139" s="63">
        <v>18</v>
      </c>
      <c r="Z139" s="66">
        <v>4</v>
      </c>
      <c r="AA139" s="66">
        <v>8</v>
      </c>
      <c r="AB139" s="66">
        <v>4</v>
      </c>
      <c r="AC139" s="26">
        <f t="shared" si="10"/>
        <v>16</v>
      </c>
      <c r="AD139" s="25">
        <v>5</v>
      </c>
      <c r="AE139" s="28">
        <f t="shared" si="11"/>
        <v>55</v>
      </c>
    </row>
    <row r="140" spans="2:31" ht="15.6" x14ac:dyDescent="0.3">
      <c r="B140" s="8">
        <v>126</v>
      </c>
      <c r="C140" s="48" t="s">
        <v>164</v>
      </c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56">
        <v>6</v>
      </c>
      <c r="T140" s="57">
        <v>4</v>
      </c>
      <c r="U140" s="57">
        <v>4</v>
      </c>
      <c r="V140" s="57">
        <v>4</v>
      </c>
      <c r="W140" s="60">
        <v>5</v>
      </c>
      <c r="X140" s="26">
        <f t="shared" si="9"/>
        <v>23</v>
      </c>
      <c r="Y140" s="63">
        <v>11</v>
      </c>
      <c r="Z140" s="66">
        <v>6</v>
      </c>
      <c r="AA140" s="66">
        <v>6</v>
      </c>
      <c r="AB140" s="66">
        <v>4</v>
      </c>
      <c r="AC140" s="26">
        <f t="shared" si="10"/>
        <v>16</v>
      </c>
      <c r="AD140" s="25">
        <v>5</v>
      </c>
      <c r="AE140" s="28">
        <f t="shared" si="11"/>
        <v>55</v>
      </c>
    </row>
    <row r="141" spans="2:31" ht="15.6" x14ac:dyDescent="0.3">
      <c r="B141" s="8">
        <v>127</v>
      </c>
      <c r="C141" s="48" t="s">
        <v>165</v>
      </c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56">
        <v>4</v>
      </c>
      <c r="T141" s="57">
        <v>5</v>
      </c>
      <c r="U141" s="57">
        <v>6</v>
      </c>
      <c r="V141" s="57">
        <v>5</v>
      </c>
      <c r="W141" s="60">
        <v>4</v>
      </c>
      <c r="X141" s="26">
        <f t="shared" si="9"/>
        <v>24</v>
      </c>
      <c r="Y141" s="63">
        <v>12</v>
      </c>
      <c r="Z141" s="66">
        <v>2</v>
      </c>
      <c r="AA141" s="66">
        <v>8</v>
      </c>
      <c r="AB141" s="66">
        <v>4</v>
      </c>
      <c r="AC141" s="26">
        <f t="shared" si="10"/>
        <v>14</v>
      </c>
      <c r="AD141" s="25">
        <v>5</v>
      </c>
      <c r="AE141" s="28">
        <f t="shared" si="11"/>
        <v>55</v>
      </c>
    </row>
    <row r="142" spans="2:31" ht="15.6" x14ac:dyDescent="0.3">
      <c r="B142" s="8">
        <v>128</v>
      </c>
      <c r="C142" s="48" t="s">
        <v>166</v>
      </c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56">
        <v>6</v>
      </c>
      <c r="T142" s="57">
        <v>6</v>
      </c>
      <c r="U142" s="57">
        <v>6</v>
      </c>
      <c r="V142" s="57">
        <v>6</v>
      </c>
      <c r="W142" s="60">
        <v>6</v>
      </c>
      <c r="X142" s="26">
        <f t="shared" si="9"/>
        <v>30</v>
      </c>
      <c r="Y142" s="63">
        <v>18</v>
      </c>
      <c r="Z142" s="66">
        <v>6</v>
      </c>
      <c r="AA142" s="66">
        <v>8</v>
      </c>
      <c r="AB142" s="66">
        <v>4</v>
      </c>
      <c r="AC142" s="26">
        <f t="shared" si="10"/>
        <v>18</v>
      </c>
      <c r="AD142" s="25">
        <v>5</v>
      </c>
      <c r="AE142" s="28">
        <f t="shared" si="11"/>
        <v>71</v>
      </c>
    </row>
    <row r="143" spans="2:31" ht="15.6" x14ac:dyDescent="0.3">
      <c r="B143" s="8">
        <v>129</v>
      </c>
      <c r="C143" s="48" t="s">
        <v>167</v>
      </c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56">
        <v>4</v>
      </c>
      <c r="T143" s="57">
        <v>4</v>
      </c>
      <c r="U143" s="57">
        <v>4</v>
      </c>
      <c r="V143" s="57">
        <v>4</v>
      </c>
      <c r="W143" s="60">
        <v>3</v>
      </c>
      <c r="X143" s="26">
        <f t="shared" si="9"/>
        <v>19</v>
      </c>
      <c r="Y143" s="63">
        <v>18</v>
      </c>
      <c r="Z143" s="66">
        <v>4</v>
      </c>
      <c r="AA143" s="66">
        <v>0</v>
      </c>
      <c r="AB143" s="66">
        <v>3</v>
      </c>
      <c r="AC143" s="26">
        <f t="shared" ref="AC143:AC174" si="12">SUM(Z143:AB143)</f>
        <v>7</v>
      </c>
      <c r="AD143" s="25">
        <v>5</v>
      </c>
      <c r="AE143" s="28">
        <f t="shared" ref="AE143:AE174" si="13">SUM(X143,Y143,AC143,AD143)</f>
        <v>49</v>
      </c>
    </row>
    <row r="144" spans="2:31" ht="15.6" x14ac:dyDescent="0.3">
      <c r="B144" s="8">
        <v>130</v>
      </c>
      <c r="C144" s="48" t="s">
        <v>168</v>
      </c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56">
        <v>4</v>
      </c>
      <c r="T144" s="57">
        <v>5</v>
      </c>
      <c r="U144" s="57">
        <v>6</v>
      </c>
      <c r="V144" s="57">
        <v>2</v>
      </c>
      <c r="W144" s="60">
        <v>6</v>
      </c>
      <c r="X144" s="26">
        <f t="shared" ref="X144:X195" si="14">SUM(S144:W144)</f>
        <v>23</v>
      </c>
      <c r="Y144" s="63">
        <v>10</v>
      </c>
      <c r="Z144" s="66">
        <v>8</v>
      </c>
      <c r="AA144" s="66">
        <v>2</v>
      </c>
      <c r="AB144" s="66">
        <v>2</v>
      </c>
      <c r="AC144" s="26">
        <f t="shared" si="12"/>
        <v>12</v>
      </c>
      <c r="AD144" s="25">
        <v>5</v>
      </c>
      <c r="AE144" s="28">
        <f t="shared" si="13"/>
        <v>50</v>
      </c>
    </row>
    <row r="145" spans="2:31" ht="15.6" x14ac:dyDescent="0.3">
      <c r="B145" s="8">
        <v>131</v>
      </c>
      <c r="C145" s="48" t="s">
        <v>169</v>
      </c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56">
        <v>6</v>
      </c>
      <c r="T145" s="57">
        <v>6</v>
      </c>
      <c r="U145" s="57">
        <v>6</v>
      </c>
      <c r="V145" s="57">
        <v>6</v>
      </c>
      <c r="W145" s="60">
        <v>6</v>
      </c>
      <c r="X145" s="26">
        <f t="shared" si="14"/>
        <v>30</v>
      </c>
      <c r="Y145" s="63">
        <v>10</v>
      </c>
      <c r="Z145" s="66">
        <v>8</v>
      </c>
      <c r="AA145" s="66">
        <v>8</v>
      </c>
      <c r="AB145" s="66">
        <v>4</v>
      </c>
      <c r="AC145" s="26">
        <f t="shared" si="12"/>
        <v>20</v>
      </c>
      <c r="AD145" s="25">
        <v>5</v>
      </c>
      <c r="AE145" s="28">
        <f t="shared" si="13"/>
        <v>65</v>
      </c>
    </row>
    <row r="146" spans="2:31" ht="15.6" x14ac:dyDescent="0.3">
      <c r="B146" s="8">
        <v>132</v>
      </c>
      <c r="C146" s="48" t="s">
        <v>170</v>
      </c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56">
        <v>5</v>
      </c>
      <c r="T146" s="57">
        <v>5</v>
      </c>
      <c r="U146" s="57">
        <v>5</v>
      </c>
      <c r="V146" s="57">
        <v>6</v>
      </c>
      <c r="W146" s="60">
        <v>6</v>
      </c>
      <c r="X146" s="26">
        <f t="shared" si="14"/>
        <v>27</v>
      </c>
      <c r="Y146" s="63">
        <v>14</v>
      </c>
      <c r="Z146" s="66">
        <v>4</v>
      </c>
      <c r="AA146" s="66">
        <v>8</v>
      </c>
      <c r="AB146" s="66">
        <v>1</v>
      </c>
      <c r="AC146" s="26">
        <f t="shared" si="12"/>
        <v>13</v>
      </c>
      <c r="AD146" s="25">
        <v>5</v>
      </c>
      <c r="AE146" s="28">
        <f t="shared" si="13"/>
        <v>59</v>
      </c>
    </row>
    <row r="147" spans="2:31" ht="15.6" x14ac:dyDescent="0.3">
      <c r="B147" s="8">
        <v>133</v>
      </c>
      <c r="C147" s="48" t="s">
        <v>171</v>
      </c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56">
        <v>5</v>
      </c>
      <c r="T147" s="57">
        <v>5</v>
      </c>
      <c r="U147" s="57">
        <v>6</v>
      </c>
      <c r="V147" s="57">
        <v>6</v>
      </c>
      <c r="W147" s="60">
        <v>6</v>
      </c>
      <c r="X147" s="26">
        <f t="shared" si="14"/>
        <v>28</v>
      </c>
      <c r="Y147" s="63">
        <v>14</v>
      </c>
      <c r="Z147" s="66">
        <v>6</v>
      </c>
      <c r="AA147" s="66">
        <v>8</v>
      </c>
      <c r="AB147" s="66">
        <v>4</v>
      </c>
      <c r="AC147" s="26">
        <f t="shared" si="12"/>
        <v>18</v>
      </c>
      <c r="AD147" s="25">
        <v>5</v>
      </c>
      <c r="AE147" s="28">
        <f t="shared" si="13"/>
        <v>65</v>
      </c>
    </row>
    <row r="148" spans="2:31" ht="15.6" x14ac:dyDescent="0.3">
      <c r="B148" s="8">
        <v>134</v>
      </c>
      <c r="C148" s="48" t="s">
        <v>172</v>
      </c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56">
        <v>2</v>
      </c>
      <c r="T148" s="57">
        <v>2</v>
      </c>
      <c r="U148" s="57">
        <v>0</v>
      </c>
      <c r="V148" s="57">
        <v>0</v>
      </c>
      <c r="W148" s="60">
        <v>0</v>
      </c>
      <c r="X148" s="26">
        <f t="shared" si="14"/>
        <v>4</v>
      </c>
      <c r="Y148" s="63">
        <v>14</v>
      </c>
      <c r="Z148" s="66">
        <v>2</v>
      </c>
      <c r="AA148" s="66">
        <v>4</v>
      </c>
      <c r="AB148" s="66">
        <v>2</v>
      </c>
      <c r="AC148" s="26">
        <f t="shared" si="12"/>
        <v>8</v>
      </c>
      <c r="AD148" s="25">
        <v>5</v>
      </c>
      <c r="AE148" s="28">
        <f t="shared" si="13"/>
        <v>31</v>
      </c>
    </row>
    <row r="149" spans="2:31" ht="15.6" x14ac:dyDescent="0.3">
      <c r="B149" s="8">
        <v>135</v>
      </c>
      <c r="C149" s="48" t="s">
        <v>173</v>
      </c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56">
        <v>6</v>
      </c>
      <c r="T149" s="57">
        <v>4</v>
      </c>
      <c r="U149" s="57">
        <v>6</v>
      </c>
      <c r="V149" s="57">
        <v>4</v>
      </c>
      <c r="W149" s="60">
        <v>4</v>
      </c>
      <c r="X149" s="26">
        <f t="shared" si="14"/>
        <v>24</v>
      </c>
      <c r="Y149" s="63">
        <v>20</v>
      </c>
      <c r="Z149" s="66">
        <v>8</v>
      </c>
      <c r="AA149" s="66">
        <v>8</v>
      </c>
      <c r="AB149" s="66">
        <v>4</v>
      </c>
      <c r="AC149" s="26">
        <f t="shared" si="12"/>
        <v>20</v>
      </c>
      <c r="AD149" s="25">
        <v>5</v>
      </c>
      <c r="AE149" s="28">
        <f t="shared" si="13"/>
        <v>69</v>
      </c>
    </row>
    <row r="150" spans="2:31" ht="15.6" x14ac:dyDescent="0.3">
      <c r="B150" s="8">
        <v>136</v>
      </c>
      <c r="C150" s="48" t="s">
        <v>174</v>
      </c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56">
        <v>5</v>
      </c>
      <c r="T150" s="57">
        <v>6</v>
      </c>
      <c r="U150" s="57">
        <v>5</v>
      </c>
      <c r="V150" s="57">
        <v>6</v>
      </c>
      <c r="W150" s="60">
        <v>6</v>
      </c>
      <c r="X150" s="26">
        <f t="shared" si="14"/>
        <v>28</v>
      </c>
      <c r="Y150" s="63">
        <v>15</v>
      </c>
      <c r="Z150" s="66">
        <v>6</v>
      </c>
      <c r="AA150" s="66">
        <v>4</v>
      </c>
      <c r="AB150" s="66">
        <v>4</v>
      </c>
      <c r="AC150" s="26">
        <f t="shared" si="12"/>
        <v>14</v>
      </c>
      <c r="AD150" s="25">
        <v>5</v>
      </c>
      <c r="AE150" s="28">
        <f t="shared" si="13"/>
        <v>62</v>
      </c>
    </row>
    <row r="151" spans="2:31" ht="15.6" x14ac:dyDescent="0.3">
      <c r="B151" s="8">
        <v>137</v>
      </c>
      <c r="C151" s="48" t="s">
        <v>175</v>
      </c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56">
        <v>5</v>
      </c>
      <c r="T151" s="57">
        <v>6</v>
      </c>
      <c r="U151" s="57">
        <v>6</v>
      </c>
      <c r="V151" s="57">
        <v>6</v>
      </c>
      <c r="W151" s="60">
        <v>6</v>
      </c>
      <c r="X151" s="26">
        <f t="shared" si="14"/>
        <v>29</v>
      </c>
      <c r="Y151" s="63">
        <v>10</v>
      </c>
      <c r="Z151" s="66">
        <v>4</v>
      </c>
      <c r="AA151" s="66">
        <v>8</v>
      </c>
      <c r="AB151" s="66">
        <v>3</v>
      </c>
      <c r="AC151" s="26">
        <f t="shared" si="12"/>
        <v>15</v>
      </c>
      <c r="AD151" s="25">
        <v>5</v>
      </c>
      <c r="AE151" s="28">
        <f t="shared" si="13"/>
        <v>59</v>
      </c>
    </row>
    <row r="152" spans="2:31" ht="15.6" x14ac:dyDescent="0.3">
      <c r="B152" s="8">
        <v>138</v>
      </c>
      <c r="C152" s="48" t="s">
        <v>176</v>
      </c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56">
        <v>5</v>
      </c>
      <c r="T152" s="57">
        <v>5</v>
      </c>
      <c r="U152" s="57">
        <v>4</v>
      </c>
      <c r="V152" s="57">
        <v>3</v>
      </c>
      <c r="W152" s="60">
        <v>6</v>
      </c>
      <c r="X152" s="26">
        <f t="shared" si="14"/>
        <v>23</v>
      </c>
      <c r="Y152" s="63">
        <v>7</v>
      </c>
      <c r="Z152" s="66">
        <v>5</v>
      </c>
      <c r="AA152" s="66">
        <v>4</v>
      </c>
      <c r="AB152" s="66">
        <v>4</v>
      </c>
      <c r="AC152" s="26">
        <f t="shared" si="12"/>
        <v>13</v>
      </c>
      <c r="AD152" s="25">
        <v>5</v>
      </c>
      <c r="AE152" s="28">
        <f t="shared" si="13"/>
        <v>48</v>
      </c>
    </row>
    <row r="153" spans="2:31" ht="15.6" x14ac:dyDescent="0.3">
      <c r="B153" s="8">
        <v>139</v>
      </c>
      <c r="C153" s="48" t="s">
        <v>177</v>
      </c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56">
        <v>5</v>
      </c>
      <c r="T153" s="57">
        <v>5</v>
      </c>
      <c r="U153" s="57">
        <v>6</v>
      </c>
      <c r="V153" s="57">
        <v>5</v>
      </c>
      <c r="W153" s="60">
        <v>6</v>
      </c>
      <c r="X153" s="26">
        <f t="shared" si="14"/>
        <v>27</v>
      </c>
      <c r="Y153" s="63">
        <v>15</v>
      </c>
      <c r="Z153" s="66">
        <v>8</v>
      </c>
      <c r="AA153" s="66">
        <v>8</v>
      </c>
      <c r="AB153" s="66">
        <v>4</v>
      </c>
      <c r="AC153" s="26">
        <f t="shared" si="12"/>
        <v>20</v>
      </c>
      <c r="AD153" s="25">
        <v>5</v>
      </c>
      <c r="AE153" s="28">
        <f t="shared" si="13"/>
        <v>67</v>
      </c>
    </row>
    <row r="154" spans="2:31" ht="15.6" x14ac:dyDescent="0.3">
      <c r="B154" s="8">
        <v>140</v>
      </c>
      <c r="C154" s="48" t="s">
        <v>178</v>
      </c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56">
        <v>5</v>
      </c>
      <c r="T154" s="57">
        <v>5</v>
      </c>
      <c r="U154" s="57">
        <v>4</v>
      </c>
      <c r="V154" s="57">
        <v>3</v>
      </c>
      <c r="W154" s="60">
        <v>6</v>
      </c>
      <c r="X154" s="26">
        <f t="shared" si="14"/>
        <v>23</v>
      </c>
      <c r="Y154" s="63">
        <v>16</v>
      </c>
      <c r="Z154" s="66">
        <v>4</v>
      </c>
      <c r="AA154" s="66">
        <v>4</v>
      </c>
      <c r="AB154" s="66">
        <v>3</v>
      </c>
      <c r="AC154" s="26">
        <f t="shared" si="12"/>
        <v>11</v>
      </c>
      <c r="AD154" s="25">
        <v>5</v>
      </c>
      <c r="AE154" s="28">
        <f t="shared" si="13"/>
        <v>55</v>
      </c>
    </row>
    <row r="155" spans="2:31" ht="15.6" x14ac:dyDescent="0.3">
      <c r="B155" s="8">
        <v>141</v>
      </c>
      <c r="C155" s="48" t="s">
        <v>179</v>
      </c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56">
        <v>4</v>
      </c>
      <c r="T155" s="57">
        <v>4</v>
      </c>
      <c r="U155" s="57">
        <v>4</v>
      </c>
      <c r="V155" s="57">
        <v>4</v>
      </c>
      <c r="W155" s="60">
        <v>6</v>
      </c>
      <c r="X155" s="26">
        <f t="shared" si="14"/>
        <v>22</v>
      </c>
      <c r="Y155" s="63">
        <v>6</v>
      </c>
      <c r="Z155" s="66">
        <v>5</v>
      </c>
      <c r="AA155" s="66">
        <v>8</v>
      </c>
      <c r="AB155" s="66">
        <v>4</v>
      </c>
      <c r="AC155" s="26">
        <f t="shared" si="12"/>
        <v>17</v>
      </c>
      <c r="AD155" s="25">
        <v>5</v>
      </c>
      <c r="AE155" s="28">
        <f t="shared" si="13"/>
        <v>50</v>
      </c>
    </row>
    <row r="156" spans="2:31" ht="15.6" x14ac:dyDescent="0.3">
      <c r="B156" s="8">
        <v>142</v>
      </c>
      <c r="C156" s="48" t="s">
        <v>180</v>
      </c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56">
        <v>4</v>
      </c>
      <c r="T156" s="57">
        <v>4</v>
      </c>
      <c r="U156" s="57">
        <v>2</v>
      </c>
      <c r="V156" s="57">
        <v>2</v>
      </c>
      <c r="W156" s="60">
        <v>2</v>
      </c>
      <c r="X156" s="26">
        <f t="shared" si="14"/>
        <v>14</v>
      </c>
      <c r="Y156" s="63">
        <v>9</v>
      </c>
      <c r="Z156" s="66">
        <v>4</v>
      </c>
      <c r="AA156" s="66">
        <v>4</v>
      </c>
      <c r="AB156" s="66">
        <v>0</v>
      </c>
      <c r="AC156" s="26">
        <f t="shared" si="12"/>
        <v>8</v>
      </c>
      <c r="AD156" s="25">
        <v>5</v>
      </c>
      <c r="AE156" s="28">
        <f t="shared" si="13"/>
        <v>36</v>
      </c>
    </row>
    <row r="157" spans="2:31" ht="15.6" x14ac:dyDescent="0.3">
      <c r="B157" s="8">
        <v>143</v>
      </c>
      <c r="C157" s="48" t="s">
        <v>181</v>
      </c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56">
        <v>4</v>
      </c>
      <c r="T157" s="57">
        <v>3</v>
      </c>
      <c r="U157" s="57">
        <v>5</v>
      </c>
      <c r="V157" s="57">
        <v>5</v>
      </c>
      <c r="W157" s="60">
        <v>0</v>
      </c>
      <c r="X157" s="26">
        <f t="shared" si="14"/>
        <v>17</v>
      </c>
      <c r="Y157" s="63">
        <v>14</v>
      </c>
      <c r="Z157" s="66">
        <v>2</v>
      </c>
      <c r="AA157" s="66">
        <v>4</v>
      </c>
      <c r="AB157" s="66">
        <v>3</v>
      </c>
      <c r="AC157" s="26">
        <f t="shared" si="12"/>
        <v>9</v>
      </c>
      <c r="AD157" s="25">
        <v>5</v>
      </c>
      <c r="AE157" s="28">
        <f t="shared" si="13"/>
        <v>45</v>
      </c>
    </row>
    <row r="158" spans="2:31" ht="15.6" x14ac:dyDescent="0.3">
      <c r="B158" s="8">
        <v>144</v>
      </c>
      <c r="C158" s="48" t="s">
        <v>182</v>
      </c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56">
        <v>4</v>
      </c>
      <c r="T158" s="57">
        <v>4</v>
      </c>
      <c r="U158" s="57">
        <v>4</v>
      </c>
      <c r="V158" s="57">
        <v>3</v>
      </c>
      <c r="W158" s="60">
        <v>0</v>
      </c>
      <c r="X158" s="26">
        <f t="shared" si="14"/>
        <v>15</v>
      </c>
      <c r="Y158" s="63">
        <v>13</v>
      </c>
      <c r="Z158" s="66">
        <v>4</v>
      </c>
      <c r="AA158" s="66">
        <v>6</v>
      </c>
      <c r="AB158" s="66">
        <v>2</v>
      </c>
      <c r="AC158" s="26">
        <f t="shared" si="12"/>
        <v>12</v>
      </c>
      <c r="AD158" s="25">
        <v>5</v>
      </c>
      <c r="AE158" s="28">
        <f t="shared" si="13"/>
        <v>45</v>
      </c>
    </row>
    <row r="159" spans="2:31" ht="15.6" x14ac:dyDescent="0.3">
      <c r="B159" s="8">
        <v>145</v>
      </c>
      <c r="C159" s="48" t="s">
        <v>183</v>
      </c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56">
        <v>6</v>
      </c>
      <c r="T159" s="57">
        <v>4</v>
      </c>
      <c r="U159" s="57">
        <v>6</v>
      </c>
      <c r="V159" s="57">
        <v>2</v>
      </c>
      <c r="W159" s="60">
        <v>4</v>
      </c>
      <c r="X159" s="26">
        <f t="shared" si="14"/>
        <v>22</v>
      </c>
      <c r="Y159" s="63">
        <v>14</v>
      </c>
      <c r="Z159" s="66">
        <v>6</v>
      </c>
      <c r="AA159" s="66">
        <v>8</v>
      </c>
      <c r="AB159" s="66">
        <v>4</v>
      </c>
      <c r="AC159" s="26">
        <f t="shared" si="12"/>
        <v>18</v>
      </c>
      <c r="AD159" s="25">
        <v>5</v>
      </c>
      <c r="AE159" s="28">
        <f t="shared" si="13"/>
        <v>59</v>
      </c>
    </row>
    <row r="160" spans="2:31" ht="15.6" x14ac:dyDescent="0.3">
      <c r="B160" s="8">
        <v>146</v>
      </c>
      <c r="C160" s="48" t="s">
        <v>184</v>
      </c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56">
        <v>5</v>
      </c>
      <c r="T160" s="57">
        <v>6</v>
      </c>
      <c r="U160" s="57">
        <v>6</v>
      </c>
      <c r="V160" s="57">
        <v>6</v>
      </c>
      <c r="W160" s="60">
        <v>6</v>
      </c>
      <c r="X160" s="26">
        <f t="shared" si="14"/>
        <v>29</v>
      </c>
      <c r="Y160" s="63">
        <v>9</v>
      </c>
      <c r="Z160" s="66">
        <v>6</v>
      </c>
      <c r="AA160" s="66">
        <v>8</v>
      </c>
      <c r="AB160" s="66">
        <v>4</v>
      </c>
      <c r="AC160" s="26">
        <f t="shared" si="12"/>
        <v>18</v>
      </c>
      <c r="AD160" s="25">
        <v>5</v>
      </c>
      <c r="AE160" s="28">
        <f t="shared" si="13"/>
        <v>61</v>
      </c>
    </row>
    <row r="161" spans="2:31" ht="15.6" x14ac:dyDescent="0.3">
      <c r="B161" s="8">
        <v>147</v>
      </c>
      <c r="C161" s="48" t="s">
        <v>185</v>
      </c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56">
        <v>6</v>
      </c>
      <c r="T161" s="57">
        <v>5</v>
      </c>
      <c r="U161" s="57">
        <v>6</v>
      </c>
      <c r="V161" s="57">
        <v>5</v>
      </c>
      <c r="W161" s="60">
        <v>2</v>
      </c>
      <c r="X161" s="26">
        <f t="shared" si="14"/>
        <v>24</v>
      </c>
      <c r="Y161" s="63">
        <v>16</v>
      </c>
      <c r="Z161" s="66">
        <v>8</v>
      </c>
      <c r="AA161" s="66">
        <v>8</v>
      </c>
      <c r="AB161" s="66">
        <v>0</v>
      </c>
      <c r="AC161" s="26">
        <f t="shared" si="12"/>
        <v>16</v>
      </c>
      <c r="AD161" s="25">
        <v>5</v>
      </c>
      <c r="AE161" s="28">
        <f t="shared" si="13"/>
        <v>61</v>
      </c>
    </row>
    <row r="162" spans="2:31" ht="15.6" x14ac:dyDescent="0.3">
      <c r="B162" s="8">
        <v>148</v>
      </c>
      <c r="C162" s="48" t="s">
        <v>186</v>
      </c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56">
        <v>5</v>
      </c>
      <c r="T162" s="57">
        <v>5</v>
      </c>
      <c r="U162" s="57">
        <v>6</v>
      </c>
      <c r="V162" s="57">
        <v>2</v>
      </c>
      <c r="W162" s="60">
        <v>4</v>
      </c>
      <c r="X162" s="26">
        <f t="shared" si="14"/>
        <v>22</v>
      </c>
      <c r="Y162" s="63">
        <v>13</v>
      </c>
      <c r="Z162" s="66">
        <v>8</v>
      </c>
      <c r="AA162" s="66">
        <v>5</v>
      </c>
      <c r="AB162" s="66">
        <v>2</v>
      </c>
      <c r="AC162" s="26">
        <f t="shared" si="12"/>
        <v>15</v>
      </c>
      <c r="AD162" s="25">
        <v>5</v>
      </c>
      <c r="AE162" s="28">
        <f t="shared" si="13"/>
        <v>55</v>
      </c>
    </row>
    <row r="163" spans="2:31" ht="15.6" x14ac:dyDescent="0.3">
      <c r="B163" s="8">
        <v>149</v>
      </c>
      <c r="C163" s="48" t="s">
        <v>187</v>
      </c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56">
        <v>5</v>
      </c>
      <c r="T163" s="57">
        <v>0</v>
      </c>
      <c r="U163" s="57">
        <v>4</v>
      </c>
      <c r="V163" s="57">
        <v>0</v>
      </c>
      <c r="W163" s="60">
        <v>0</v>
      </c>
      <c r="X163" s="26">
        <f t="shared" si="14"/>
        <v>9</v>
      </c>
      <c r="Y163" s="63">
        <v>15</v>
      </c>
      <c r="Z163" s="66">
        <v>6</v>
      </c>
      <c r="AA163" s="66">
        <v>8</v>
      </c>
      <c r="AB163" s="66">
        <v>0</v>
      </c>
      <c r="AC163" s="26">
        <f t="shared" si="12"/>
        <v>14</v>
      </c>
      <c r="AD163" s="25">
        <v>5</v>
      </c>
      <c r="AE163" s="28">
        <f t="shared" si="13"/>
        <v>43</v>
      </c>
    </row>
    <row r="164" spans="2:31" ht="15.6" x14ac:dyDescent="0.3">
      <c r="B164" s="8">
        <v>150</v>
      </c>
      <c r="C164" s="48" t="s">
        <v>188</v>
      </c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56">
        <v>5</v>
      </c>
      <c r="T164" s="57">
        <v>4</v>
      </c>
      <c r="U164" s="57">
        <v>6</v>
      </c>
      <c r="V164" s="57">
        <v>6</v>
      </c>
      <c r="W164" s="60">
        <v>6</v>
      </c>
      <c r="X164" s="26">
        <f t="shared" si="14"/>
        <v>27</v>
      </c>
      <c r="Y164" s="63">
        <v>7</v>
      </c>
      <c r="Z164" s="66">
        <v>4</v>
      </c>
      <c r="AA164" s="66">
        <v>8</v>
      </c>
      <c r="AB164" s="66">
        <v>4</v>
      </c>
      <c r="AC164" s="26">
        <f t="shared" si="12"/>
        <v>16</v>
      </c>
      <c r="AD164" s="25">
        <v>5</v>
      </c>
      <c r="AE164" s="28">
        <f t="shared" si="13"/>
        <v>55</v>
      </c>
    </row>
    <row r="165" spans="2:31" ht="15.6" x14ac:dyDescent="0.3">
      <c r="B165" s="8">
        <v>151</v>
      </c>
      <c r="C165" s="48" t="s">
        <v>189</v>
      </c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56">
        <v>5</v>
      </c>
      <c r="T165" s="57">
        <v>5</v>
      </c>
      <c r="U165" s="57">
        <v>4</v>
      </c>
      <c r="V165" s="57">
        <v>5</v>
      </c>
      <c r="W165" s="60">
        <v>0</v>
      </c>
      <c r="X165" s="26">
        <f t="shared" si="14"/>
        <v>19</v>
      </c>
      <c r="Y165" s="63">
        <v>17</v>
      </c>
      <c r="Z165" s="66">
        <v>2</v>
      </c>
      <c r="AA165" s="66">
        <v>8</v>
      </c>
      <c r="AB165" s="66">
        <v>0</v>
      </c>
      <c r="AC165" s="26">
        <f t="shared" si="12"/>
        <v>10</v>
      </c>
      <c r="AD165" s="25">
        <v>5</v>
      </c>
      <c r="AE165" s="28">
        <f t="shared" si="13"/>
        <v>51</v>
      </c>
    </row>
    <row r="166" spans="2:31" ht="15.6" x14ac:dyDescent="0.3">
      <c r="B166" s="8">
        <v>152</v>
      </c>
      <c r="C166" s="48" t="s">
        <v>190</v>
      </c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56">
        <v>5</v>
      </c>
      <c r="T166" s="57">
        <v>4</v>
      </c>
      <c r="U166" s="57">
        <v>5</v>
      </c>
      <c r="V166" s="57">
        <v>0</v>
      </c>
      <c r="W166" s="60">
        <v>2</v>
      </c>
      <c r="X166" s="26">
        <f t="shared" si="14"/>
        <v>16</v>
      </c>
      <c r="Y166" s="63">
        <v>16</v>
      </c>
      <c r="Z166" s="66">
        <v>6</v>
      </c>
      <c r="AA166" s="66">
        <v>2</v>
      </c>
      <c r="AB166" s="66">
        <v>2</v>
      </c>
      <c r="AC166" s="26">
        <f t="shared" si="12"/>
        <v>10</v>
      </c>
      <c r="AD166" s="25">
        <v>5</v>
      </c>
      <c r="AE166" s="28">
        <f t="shared" si="13"/>
        <v>47</v>
      </c>
    </row>
    <row r="167" spans="2:31" ht="15.6" x14ac:dyDescent="0.3">
      <c r="B167" s="8">
        <v>153</v>
      </c>
      <c r="C167" s="48" t="s">
        <v>191</v>
      </c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56">
        <v>5</v>
      </c>
      <c r="T167" s="57">
        <v>3</v>
      </c>
      <c r="U167" s="57">
        <v>2</v>
      </c>
      <c r="V167" s="57">
        <v>0</v>
      </c>
      <c r="W167" s="60">
        <v>5</v>
      </c>
      <c r="X167" s="26">
        <f t="shared" si="14"/>
        <v>15</v>
      </c>
      <c r="Y167" s="63">
        <v>16</v>
      </c>
      <c r="Z167" s="66">
        <v>2</v>
      </c>
      <c r="AA167" s="66">
        <v>8</v>
      </c>
      <c r="AB167" s="66">
        <v>3</v>
      </c>
      <c r="AC167" s="26">
        <f t="shared" si="12"/>
        <v>13</v>
      </c>
      <c r="AD167" s="25">
        <v>5</v>
      </c>
      <c r="AE167" s="28">
        <f t="shared" si="13"/>
        <v>49</v>
      </c>
    </row>
    <row r="168" spans="2:31" ht="15.6" x14ac:dyDescent="0.3">
      <c r="B168" s="8">
        <v>154</v>
      </c>
      <c r="C168" s="48" t="s">
        <v>192</v>
      </c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56">
        <v>6</v>
      </c>
      <c r="T168" s="57">
        <v>4</v>
      </c>
      <c r="U168" s="57">
        <v>6</v>
      </c>
      <c r="V168" s="57">
        <v>4</v>
      </c>
      <c r="W168" s="60">
        <v>6</v>
      </c>
      <c r="X168" s="26">
        <f t="shared" si="14"/>
        <v>26</v>
      </c>
      <c r="Y168" s="63">
        <v>17</v>
      </c>
      <c r="Z168" s="66">
        <v>8</v>
      </c>
      <c r="AA168" s="66">
        <v>8</v>
      </c>
      <c r="AB168" s="66">
        <v>4</v>
      </c>
      <c r="AC168" s="26">
        <f t="shared" si="12"/>
        <v>20</v>
      </c>
      <c r="AD168" s="25">
        <v>5</v>
      </c>
      <c r="AE168" s="28">
        <f t="shared" si="13"/>
        <v>68</v>
      </c>
    </row>
    <row r="169" spans="2:31" ht="15.6" x14ac:dyDescent="0.3">
      <c r="B169" s="8">
        <v>155</v>
      </c>
      <c r="C169" s="48" t="s">
        <v>193</v>
      </c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56">
        <v>5</v>
      </c>
      <c r="T169" s="57">
        <v>5</v>
      </c>
      <c r="U169" s="57">
        <v>6</v>
      </c>
      <c r="V169" s="57">
        <v>4</v>
      </c>
      <c r="W169" s="60">
        <v>2</v>
      </c>
      <c r="X169" s="26">
        <f t="shared" si="14"/>
        <v>22</v>
      </c>
      <c r="Y169" s="63">
        <v>16</v>
      </c>
      <c r="Z169" s="66">
        <v>6</v>
      </c>
      <c r="AA169" s="66">
        <v>8</v>
      </c>
      <c r="AB169" s="66">
        <v>4</v>
      </c>
      <c r="AC169" s="26">
        <f t="shared" si="12"/>
        <v>18</v>
      </c>
      <c r="AD169" s="25">
        <v>5</v>
      </c>
      <c r="AE169" s="28">
        <f t="shared" si="13"/>
        <v>61</v>
      </c>
    </row>
    <row r="170" spans="2:31" ht="15.6" x14ac:dyDescent="0.3">
      <c r="B170" s="8">
        <v>156</v>
      </c>
      <c r="C170" s="48" t="s">
        <v>194</v>
      </c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56">
        <v>6</v>
      </c>
      <c r="T170" s="57">
        <v>6</v>
      </c>
      <c r="U170" s="57">
        <v>6</v>
      </c>
      <c r="V170" s="57">
        <v>4</v>
      </c>
      <c r="W170" s="60">
        <v>6</v>
      </c>
      <c r="X170" s="26">
        <f t="shared" si="14"/>
        <v>28</v>
      </c>
      <c r="Y170" s="63">
        <v>16</v>
      </c>
      <c r="Z170" s="66">
        <v>8</v>
      </c>
      <c r="AA170" s="66">
        <v>8</v>
      </c>
      <c r="AB170" s="66">
        <v>4</v>
      </c>
      <c r="AC170" s="26">
        <f t="shared" si="12"/>
        <v>20</v>
      </c>
      <c r="AD170" s="25">
        <v>5</v>
      </c>
      <c r="AE170" s="28">
        <f t="shared" si="13"/>
        <v>69</v>
      </c>
    </row>
    <row r="171" spans="2:31" ht="15.6" x14ac:dyDescent="0.3">
      <c r="B171" s="8">
        <v>157</v>
      </c>
      <c r="C171" s="48" t="s">
        <v>195</v>
      </c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56">
        <v>4</v>
      </c>
      <c r="T171" s="57">
        <v>5</v>
      </c>
      <c r="U171" s="57">
        <v>2</v>
      </c>
      <c r="V171" s="57">
        <v>4</v>
      </c>
      <c r="W171" s="60">
        <v>6</v>
      </c>
      <c r="X171" s="26">
        <f t="shared" si="14"/>
        <v>21</v>
      </c>
      <c r="Y171" s="63">
        <v>19</v>
      </c>
      <c r="Z171" s="66">
        <v>5</v>
      </c>
      <c r="AA171" s="66">
        <v>5</v>
      </c>
      <c r="AB171" s="66">
        <v>0</v>
      </c>
      <c r="AC171" s="26">
        <f t="shared" si="12"/>
        <v>10</v>
      </c>
      <c r="AD171" s="25">
        <v>5</v>
      </c>
      <c r="AE171" s="28">
        <f t="shared" si="13"/>
        <v>55</v>
      </c>
    </row>
    <row r="172" spans="2:31" ht="15.6" x14ac:dyDescent="0.3">
      <c r="B172" s="8">
        <v>158</v>
      </c>
      <c r="C172" s="48" t="s">
        <v>196</v>
      </c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56">
        <v>4</v>
      </c>
      <c r="T172" s="57">
        <v>4</v>
      </c>
      <c r="U172" s="57">
        <v>4</v>
      </c>
      <c r="V172" s="57">
        <v>4</v>
      </c>
      <c r="W172" s="60">
        <v>6</v>
      </c>
      <c r="X172" s="26">
        <f t="shared" si="14"/>
        <v>22</v>
      </c>
      <c r="Y172" s="63">
        <v>13</v>
      </c>
      <c r="Z172" s="66">
        <v>3</v>
      </c>
      <c r="AA172" s="66">
        <v>4</v>
      </c>
      <c r="AB172" s="66">
        <v>4</v>
      </c>
      <c r="AC172" s="26">
        <f t="shared" si="12"/>
        <v>11</v>
      </c>
      <c r="AD172" s="25">
        <v>5</v>
      </c>
      <c r="AE172" s="28">
        <f t="shared" si="13"/>
        <v>51</v>
      </c>
    </row>
    <row r="173" spans="2:31" ht="15.6" x14ac:dyDescent="0.3">
      <c r="B173" s="8">
        <v>159</v>
      </c>
      <c r="C173" s="48" t="s">
        <v>197</v>
      </c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56">
        <v>6</v>
      </c>
      <c r="T173" s="57">
        <v>4</v>
      </c>
      <c r="U173" s="57">
        <v>4</v>
      </c>
      <c r="V173" s="57">
        <v>4</v>
      </c>
      <c r="W173" s="60">
        <v>5</v>
      </c>
      <c r="X173" s="26">
        <f t="shared" si="14"/>
        <v>23</v>
      </c>
      <c r="Y173" s="63">
        <v>7</v>
      </c>
      <c r="Z173" s="66">
        <v>5</v>
      </c>
      <c r="AA173" s="66">
        <v>8</v>
      </c>
      <c r="AB173" s="66">
        <v>4</v>
      </c>
      <c r="AC173" s="26">
        <f t="shared" si="12"/>
        <v>17</v>
      </c>
      <c r="AD173" s="25">
        <v>5</v>
      </c>
      <c r="AE173" s="28">
        <f t="shared" si="13"/>
        <v>52</v>
      </c>
    </row>
    <row r="174" spans="2:31" ht="15.6" x14ac:dyDescent="0.3">
      <c r="B174" s="8">
        <v>160</v>
      </c>
      <c r="C174" s="48" t="s">
        <v>198</v>
      </c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56">
        <v>4</v>
      </c>
      <c r="T174" s="57">
        <v>6</v>
      </c>
      <c r="U174" s="57">
        <v>3</v>
      </c>
      <c r="V174" s="57">
        <v>5</v>
      </c>
      <c r="W174" s="60">
        <v>2</v>
      </c>
      <c r="X174" s="26">
        <f t="shared" si="14"/>
        <v>20</v>
      </c>
      <c r="Y174" s="63">
        <v>7</v>
      </c>
      <c r="Z174" s="66">
        <v>5</v>
      </c>
      <c r="AA174" s="66">
        <v>4</v>
      </c>
      <c r="AB174" s="66">
        <v>3</v>
      </c>
      <c r="AC174" s="26">
        <f t="shared" si="12"/>
        <v>12</v>
      </c>
      <c r="AD174" s="25">
        <v>5</v>
      </c>
      <c r="AE174" s="28">
        <f t="shared" si="13"/>
        <v>44</v>
      </c>
    </row>
    <row r="175" spans="2:31" ht="15.6" x14ac:dyDescent="0.3">
      <c r="B175" s="8">
        <v>161</v>
      </c>
      <c r="C175" s="48" t="s">
        <v>199</v>
      </c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56">
        <v>5</v>
      </c>
      <c r="T175" s="57">
        <v>5</v>
      </c>
      <c r="U175" s="57">
        <v>3</v>
      </c>
      <c r="V175" s="57">
        <v>5</v>
      </c>
      <c r="W175" s="60">
        <v>6</v>
      </c>
      <c r="X175" s="26">
        <f t="shared" si="14"/>
        <v>24</v>
      </c>
      <c r="Y175" s="63">
        <v>6</v>
      </c>
      <c r="Z175" s="66">
        <v>7</v>
      </c>
      <c r="AA175" s="66">
        <v>7</v>
      </c>
      <c r="AB175" s="66">
        <v>4</v>
      </c>
      <c r="AC175" s="26">
        <f t="shared" ref="AC175:AC206" si="15">SUM(Z175:AB175)</f>
        <v>18</v>
      </c>
      <c r="AD175" s="25">
        <v>5</v>
      </c>
      <c r="AE175" s="28">
        <f t="shared" ref="AE175:AE206" si="16">SUM(X175,Y175,AC175,AD175)</f>
        <v>53</v>
      </c>
    </row>
    <row r="176" spans="2:31" ht="15.6" x14ac:dyDescent="0.3">
      <c r="B176" s="8">
        <v>162</v>
      </c>
      <c r="C176" s="48" t="s">
        <v>200</v>
      </c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56">
        <v>3</v>
      </c>
      <c r="T176" s="57">
        <v>4</v>
      </c>
      <c r="U176" s="57">
        <v>4</v>
      </c>
      <c r="V176" s="57">
        <v>6</v>
      </c>
      <c r="W176" s="60">
        <v>6</v>
      </c>
      <c r="X176" s="26">
        <f t="shared" si="14"/>
        <v>23</v>
      </c>
      <c r="Y176" s="63">
        <v>11</v>
      </c>
      <c r="Z176" s="66">
        <v>6</v>
      </c>
      <c r="AA176" s="66">
        <v>6</v>
      </c>
      <c r="AB176" s="66">
        <v>3</v>
      </c>
      <c r="AC176" s="26">
        <f t="shared" si="15"/>
        <v>15</v>
      </c>
      <c r="AD176" s="25">
        <v>5</v>
      </c>
      <c r="AE176" s="28">
        <f t="shared" si="16"/>
        <v>54</v>
      </c>
    </row>
    <row r="177" spans="2:31" ht="15.6" x14ac:dyDescent="0.3">
      <c r="B177" s="8">
        <v>163</v>
      </c>
      <c r="C177" s="48" t="s">
        <v>201</v>
      </c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56">
        <v>6</v>
      </c>
      <c r="T177" s="57">
        <v>3</v>
      </c>
      <c r="U177" s="57">
        <v>3</v>
      </c>
      <c r="V177" s="57">
        <v>4</v>
      </c>
      <c r="W177" s="60">
        <v>6</v>
      </c>
      <c r="X177" s="26">
        <f t="shared" si="14"/>
        <v>22</v>
      </c>
      <c r="Y177" s="63">
        <v>18</v>
      </c>
      <c r="Z177" s="66">
        <v>5</v>
      </c>
      <c r="AA177" s="66">
        <v>8</v>
      </c>
      <c r="AB177" s="66">
        <v>4</v>
      </c>
      <c r="AC177" s="26">
        <f t="shared" si="15"/>
        <v>17</v>
      </c>
      <c r="AD177" s="25">
        <v>5</v>
      </c>
      <c r="AE177" s="28">
        <f t="shared" si="16"/>
        <v>62</v>
      </c>
    </row>
    <row r="178" spans="2:31" ht="15.6" x14ac:dyDescent="0.3">
      <c r="B178" s="8">
        <v>164</v>
      </c>
      <c r="C178" s="48" t="s">
        <v>202</v>
      </c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56">
        <v>5</v>
      </c>
      <c r="T178" s="57">
        <v>4</v>
      </c>
      <c r="U178" s="57">
        <v>5</v>
      </c>
      <c r="V178" s="57">
        <v>5</v>
      </c>
      <c r="W178" s="60">
        <v>6</v>
      </c>
      <c r="X178" s="26">
        <f t="shared" si="14"/>
        <v>25</v>
      </c>
      <c r="Y178" s="63">
        <v>9</v>
      </c>
      <c r="Z178" s="66">
        <v>7</v>
      </c>
      <c r="AA178" s="66">
        <v>6</v>
      </c>
      <c r="AB178" s="66">
        <v>3</v>
      </c>
      <c r="AC178" s="26">
        <f t="shared" si="15"/>
        <v>16</v>
      </c>
      <c r="AD178" s="25">
        <v>5</v>
      </c>
      <c r="AE178" s="28">
        <f t="shared" si="16"/>
        <v>55</v>
      </c>
    </row>
    <row r="179" spans="2:31" ht="15.6" x14ac:dyDescent="0.3">
      <c r="B179" s="8">
        <v>165</v>
      </c>
      <c r="C179" s="48" t="s">
        <v>203</v>
      </c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56">
        <v>5</v>
      </c>
      <c r="T179" s="57">
        <v>5</v>
      </c>
      <c r="U179" s="57">
        <v>5</v>
      </c>
      <c r="V179" s="57">
        <v>4</v>
      </c>
      <c r="W179" s="60">
        <v>6</v>
      </c>
      <c r="X179" s="26">
        <f t="shared" si="14"/>
        <v>25</v>
      </c>
      <c r="Y179" s="63">
        <v>10</v>
      </c>
      <c r="Z179" s="66">
        <v>4</v>
      </c>
      <c r="AA179" s="66">
        <v>8</v>
      </c>
      <c r="AB179" s="66">
        <v>4</v>
      </c>
      <c r="AC179" s="26">
        <f t="shared" si="15"/>
        <v>16</v>
      </c>
      <c r="AD179" s="25">
        <v>5</v>
      </c>
      <c r="AE179" s="28">
        <f t="shared" si="16"/>
        <v>56</v>
      </c>
    </row>
    <row r="180" spans="2:31" ht="15.6" x14ac:dyDescent="0.3">
      <c r="B180" s="8">
        <v>166</v>
      </c>
      <c r="C180" s="48" t="s">
        <v>204</v>
      </c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56">
        <v>6</v>
      </c>
      <c r="T180" s="57">
        <v>6</v>
      </c>
      <c r="U180" s="57">
        <v>6</v>
      </c>
      <c r="V180" s="57">
        <v>4</v>
      </c>
      <c r="W180" s="60">
        <v>6</v>
      </c>
      <c r="X180" s="26">
        <f t="shared" si="14"/>
        <v>28</v>
      </c>
      <c r="Y180" s="63">
        <v>9</v>
      </c>
      <c r="Z180" s="66">
        <v>8</v>
      </c>
      <c r="AA180" s="66">
        <v>8</v>
      </c>
      <c r="AB180" s="66">
        <v>4</v>
      </c>
      <c r="AC180" s="26">
        <f t="shared" si="15"/>
        <v>20</v>
      </c>
      <c r="AD180" s="25">
        <v>5</v>
      </c>
      <c r="AE180" s="28">
        <f t="shared" si="16"/>
        <v>62</v>
      </c>
    </row>
    <row r="181" spans="2:31" ht="15.6" x14ac:dyDescent="0.3">
      <c r="B181" s="8">
        <v>167</v>
      </c>
      <c r="C181" s="48" t="s">
        <v>205</v>
      </c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56">
        <v>6</v>
      </c>
      <c r="T181" s="57">
        <v>6</v>
      </c>
      <c r="U181" s="57">
        <v>6</v>
      </c>
      <c r="V181" s="57">
        <v>6</v>
      </c>
      <c r="W181" s="60">
        <v>6</v>
      </c>
      <c r="X181" s="26">
        <f t="shared" si="14"/>
        <v>30</v>
      </c>
      <c r="Y181" s="63">
        <v>19</v>
      </c>
      <c r="Z181" s="66">
        <v>6</v>
      </c>
      <c r="AA181" s="66">
        <v>6</v>
      </c>
      <c r="AB181" s="66">
        <v>4</v>
      </c>
      <c r="AC181" s="26">
        <f t="shared" si="15"/>
        <v>16</v>
      </c>
      <c r="AD181" s="25">
        <v>5</v>
      </c>
      <c r="AE181" s="28">
        <f t="shared" si="16"/>
        <v>70</v>
      </c>
    </row>
    <row r="182" spans="2:31" ht="15.6" x14ac:dyDescent="0.3">
      <c r="B182" s="8">
        <v>168</v>
      </c>
      <c r="C182" s="48" t="s">
        <v>206</v>
      </c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56">
        <v>6</v>
      </c>
      <c r="T182" s="57">
        <v>6</v>
      </c>
      <c r="U182" s="57">
        <v>6</v>
      </c>
      <c r="V182" s="57">
        <v>6</v>
      </c>
      <c r="W182" s="60">
        <v>2</v>
      </c>
      <c r="X182" s="26">
        <f t="shared" si="14"/>
        <v>26</v>
      </c>
      <c r="Y182" s="63">
        <v>13</v>
      </c>
      <c r="Z182" s="66">
        <v>8</v>
      </c>
      <c r="AA182" s="66">
        <v>8</v>
      </c>
      <c r="AB182" s="66">
        <v>3</v>
      </c>
      <c r="AC182" s="26">
        <f t="shared" si="15"/>
        <v>19</v>
      </c>
      <c r="AD182" s="25">
        <v>5</v>
      </c>
      <c r="AE182" s="28">
        <f t="shared" si="16"/>
        <v>63</v>
      </c>
    </row>
    <row r="183" spans="2:31" ht="15.6" x14ac:dyDescent="0.3">
      <c r="B183" s="8">
        <v>169</v>
      </c>
      <c r="C183" s="48" t="s">
        <v>207</v>
      </c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56">
        <v>6</v>
      </c>
      <c r="T183" s="57">
        <v>4</v>
      </c>
      <c r="U183" s="57">
        <v>5</v>
      </c>
      <c r="V183" s="57">
        <v>5</v>
      </c>
      <c r="W183" s="60">
        <v>6</v>
      </c>
      <c r="X183" s="26">
        <f t="shared" si="14"/>
        <v>26</v>
      </c>
      <c r="Y183" s="63">
        <v>7</v>
      </c>
      <c r="Z183" s="66">
        <v>7</v>
      </c>
      <c r="AA183" s="66">
        <v>8</v>
      </c>
      <c r="AB183" s="66">
        <v>4</v>
      </c>
      <c r="AC183" s="26">
        <f t="shared" si="15"/>
        <v>19</v>
      </c>
      <c r="AD183" s="25">
        <v>5</v>
      </c>
      <c r="AE183" s="28">
        <f t="shared" si="16"/>
        <v>57</v>
      </c>
    </row>
    <row r="184" spans="2:31" ht="15.6" x14ac:dyDescent="0.3">
      <c r="B184" s="8">
        <v>170</v>
      </c>
      <c r="C184" s="48" t="s">
        <v>208</v>
      </c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56">
        <v>6</v>
      </c>
      <c r="T184" s="57">
        <v>5</v>
      </c>
      <c r="U184" s="57">
        <v>6</v>
      </c>
      <c r="V184" s="57">
        <v>5</v>
      </c>
      <c r="W184" s="60">
        <v>1</v>
      </c>
      <c r="X184" s="26">
        <f t="shared" si="14"/>
        <v>23</v>
      </c>
      <c r="Y184" s="63">
        <v>18</v>
      </c>
      <c r="Z184" s="66">
        <v>6</v>
      </c>
      <c r="AA184" s="66">
        <v>8</v>
      </c>
      <c r="AB184" s="66">
        <v>4</v>
      </c>
      <c r="AC184" s="26">
        <f t="shared" si="15"/>
        <v>18</v>
      </c>
      <c r="AD184" s="25">
        <v>5</v>
      </c>
      <c r="AE184" s="28">
        <f t="shared" si="16"/>
        <v>64</v>
      </c>
    </row>
    <row r="185" spans="2:31" ht="15.6" x14ac:dyDescent="0.3">
      <c r="B185" s="8">
        <v>171</v>
      </c>
      <c r="C185" s="48" t="s">
        <v>209</v>
      </c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56" t="s">
        <v>17</v>
      </c>
      <c r="T185" s="57" t="s">
        <v>17</v>
      </c>
      <c r="U185" s="57" t="s">
        <v>17</v>
      </c>
      <c r="V185" s="57" t="s">
        <v>17</v>
      </c>
      <c r="W185" s="60" t="s">
        <v>17</v>
      </c>
      <c r="X185" s="26">
        <f t="shared" si="14"/>
        <v>0</v>
      </c>
      <c r="Y185" s="64" t="s">
        <v>17</v>
      </c>
      <c r="Z185" s="66" t="s">
        <v>17</v>
      </c>
      <c r="AA185" s="66" t="s">
        <v>17</v>
      </c>
      <c r="AB185" s="66" t="s">
        <v>17</v>
      </c>
      <c r="AC185" s="26">
        <f t="shared" si="15"/>
        <v>0</v>
      </c>
      <c r="AD185" s="25">
        <v>5</v>
      </c>
      <c r="AE185" s="28">
        <f t="shared" si="16"/>
        <v>5</v>
      </c>
    </row>
    <row r="186" spans="2:31" ht="15.6" x14ac:dyDescent="0.3">
      <c r="B186" s="8">
        <v>172</v>
      </c>
      <c r="C186" s="48" t="s">
        <v>210</v>
      </c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56">
        <v>1</v>
      </c>
      <c r="T186" s="57">
        <v>3</v>
      </c>
      <c r="U186" s="57">
        <v>5</v>
      </c>
      <c r="V186" s="57">
        <v>5</v>
      </c>
      <c r="W186" s="60">
        <v>0</v>
      </c>
      <c r="X186" s="26">
        <f t="shared" si="14"/>
        <v>14</v>
      </c>
      <c r="Y186" s="63">
        <v>12</v>
      </c>
      <c r="Z186" s="66">
        <v>8</v>
      </c>
      <c r="AA186" s="66">
        <v>8</v>
      </c>
      <c r="AB186" s="66">
        <v>2</v>
      </c>
      <c r="AC186" s="26">
        <f t="shared" si="15"/>
        <v>18</v>
      </c>
      <c r="AD186" s="25">
        <v>5</v>
      </c>
      <c r="AE186" s="28">
        <f t="shared" si="16"/>
        <v>49</v>
      </c>
    </row>
    <row r="187" spans="2:31" ht="15.6" x14ac:dyDescent="0.3">
      <c r="B187" s="8">
        <v>173</v>
      </c>
      <c r="C187" s="48" t="s">
        <v>211</v>
      </c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56">
        <v>5</v>
      </c>
      <c r="T187" s="57">
        <v>4</v>
      </c>
      <c r="U187" s="57">
        <v>6</v>
      </c>
      <c r="V187" s="57">
        <v>4</v>
      </c>
      <c r="W187" s="60">
        <v>6</v>
      </c>
      <c r="X187" s="26">
        <f t="shared" si="14"/>
        <v>25</v>
      </c>
      <c r="Y187" s="63">
        <v>12</v>
      </c>
      <c r="Z187" s="66">
        <v>8</v>
      </c>
      <c r="AA187" s="66">
        <v>8</v>
      </c>
      <c r="AB187" s="66">
        <v>2</v>
      </c>
      <c r="AC187" s="26">
        <f t="shared" si="15"/>
        <v>18</v>
      </c>
      <c r="AD187" s="25">
        <v>5</v>
      </c>
      <c r="AE187" s="28">
        <f t="shared" si="16"/>
        <v>60</v>
      </c>
    </row>
    <row r="188" spans="2:31" ht="15.6" x14ac:dyDescent="0.3">
      <c r="B188" s="8">
        <v>174</v>
      </c>
      <c r="C188" s="48" t="s">
        <v>212</v>
      </c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56">
        <v>4</v>
      </c>
      <c r="T188" s="57">
        <v>3</v>
      </c>
      <c r="U188" s="57">
        <v>4</v>
      </c>
      <c r="V188" s="57">
        <v>0</v>
      </c>
      <c r="W188" s="60">
        <v>0</v>
      </c>
      <c r="X188" s="26">
        <f t="shared" si="14"/>
        <v>11</v>
      </c>
      <c r="Y188" s="63">
        <v>16</v>
      </c>
      <c r="Z188" s="66">
        <v>6</v>
      </c>
      <c r="AA188" s="66">
        <v>4</v>
      </c>
      <c r="AB188" s="66">
        <v>0</v>
      </c>
      <c r="AC188" s="26">
        <f t="shared" si="15"/>
        <v>10</v>
      </c>
      <c r="AD188" s="25">
        <v>5</v>
      </c>
      <c r="AE188" s="28">
        <f t="shared" si="16"/>
        <v>42</v>
      </c>
    </row>
    <row r="189" spans="2:31" ht="15.6" x14ac:dyDescent="0.3">
      <c r="B189" s="8">
        <v>175</v>
      </c>
      <c r="C189" s="48" t="s">
        <v>213</v>
      </c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56">
        <v>4</v>
      </c>
      <c r="T189" s="57">
        <v>0</v>
      </c>
      <c r="U189" s="57">
        <v>4</v>
      </c>
      <c r="V189" s="57">
        <v>4</v>
      </c>
      <c r="W189" s="60">
        <v>2</v>
      </c>
      <c r="X189" s="26">
        <f t="shared" si="14"/>
        <v>14</v>
      </c>
      <c r="Y189" s="63">
        <v>4</v>
      </c>
      <c r="Z189" s="66">
        <v>5</v>
      </c>
      <c r="AA189" s="66">
        <v>6</v>
      </c>
      <c r="AB189" s="66">
        <v>4</v>
      </c>
      <c r="AC189" s="26">
        <f t="shared" si="15"/>
        <v>15</v>
      </c>
      <c r="AD189" s="25">
        <v>5</v>
      </c>
      <c r="AE189" s="28">
        <f t="shared" si="16"/>
        <v>38</v>
      </c>
    </row>
    <row r="190" spans="2:31" ht="15.6" x14ac:dyDescent="0.3">
      <c r="B190" s="8">
        <v>176</v>
      </c>
      <c r="C190" s="48" t="s">
        <v>214</v>
      </c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56">
        <v>5</v>
      </c>
      <c r="T190" s="57">
        <v>4</v>
      </c>
      <c r="U190" s="57">
        <v>3</v>
      </c>
      <c r="V190" s="57">
        <v>4</v>
      </c>
      <c r="W190" s="60">
        <v>2</v>
      </c>
      <c r="X190" s="26">
        <f t="shared" si="14"/>
        <v>18</v>
      </c>
      <c r="Y190" s="63">
        <v>10</v>
      </c>
      <c r="Z190" s="66">
        <v>4</v>
      </c>
      <c r="AA190" s="66">
        <v>4</v>
      </c>
      <c r="AB190" s="66">
        <v>3</v>
      </c>
      <c r="AC190" s="26">
        <f t="shared" si="15"/>
        <v>11</v>
      </c>
      <c r="AD190" s="25">
        <v>5</v>
      </c>
      <c r="AE190" s="28">
        <f t="shared" si="16"/>
        <v>44</v>
      </c>
    </row>
    <row r="191" spans="2:31" ht="15.6" x14ac:dyDescent="0.3">
      <c r="B191" s="8">
        <v>177</v>
      </c>
      <c r="C191" s="48" t="s">
        <v>215</v>
      </c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56">
        <v>4</v>
      </c>
      <c r="T191" s="57">
        <v>5</v>
      </c>
      <c r="U191" s="57">
        <v>5</v>
      </c>
      <c r="V191" s="57">
        <v>5</v>
      </c>
      <c r="W191" s="60">
        <v>2</v>
      </c>
      <c r="X191" s="26">
        <f t="shared" si="14"/>
        <v>21</v>
      </c>
      <c r="Y191" s="63">
        <v>9</v>
      </c>
      <c r="Z191" s="66">
        <v>8</v>
      </c>
      <c r="AA191" s="66">
        <v>4</v>
      </c>
      <c r="AB191" s="66">
        <v>0</v>
      </c>
      <c r="AC191" s="26">
        <f t="shared" si="15"/>
        <v>12</v>
      </c>
      <c r="AD191" s="25">
        <v>5</v>
      </c>
      <c r="AE191" s="28">
        <f t="shared" si="16"/>
        <v>47</v>
      </c>
    </row>
    <row r="192" spans="2:31" ht="15.6" x14ac:dyDescent="0.3">
      <c r="B192" s="8">
        <v>178</v>
      </c>
      <c r="C192" s="48" t="s">
        <v>216</v>
      </c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56">
        <v>4</v>
      </c>
      <c r="T192" s="57">
        <v>4</v>
      </c>
      <c r="U192" s="57">
        <v>5</v>
      </c>
      <c r="V192" s="57">
        <v>5</v>
      </c>
      <c r="W192" s="60">
        <v>2</v>
      </c>
      <c r="X192" s="26">
        <f t="shared" si="14"/>
        <v>20</v>
      </c>
      <c r="Y192" s="63">
        <v>11</v>
      </c>
      <c r="Z192" s="66">
        <v>6</v>
      </c>
      <c r="AA192" s="66">
        <v>8</v>
      </c>
      <c r="AB192" s="66">
        <v>3</v>
      </c>
      <c r="AC192" s="26">
        <f t="shared" si="15"/>
        <v>17</v>
      </c>
      <c r="AD192" s="25">
        <v>5</v>
      </c>
      <c r="AE192" s="28">
        <f t="shared" si="16"/>
        <v>53</v>
      </c>
    </row>
    <row r="193" spans="2:31" ht="15.6" x14ac:dyDescent="0.3">
      <c r="B193" s="8">
        <v>179</v>
      </c>
      <c r="C193" s="48" t="s">
        <v>217</v>
      </c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56">
        <v>5</v>
      </c>
      <c r="T193" s="57">
        <v>4</v>
      </c>
      <c r="U193" s="57">
        <v>4</v>
      </c>
      <c r="V193" s="57">
        <v>5</v>
      </c>
      <c r="W193" s="60">
        <v>5</v>
      </c>
      <c r="X193" s="26">
        <f t="shared" si="14"/>
        <v>23</v>
      </c>
      <c r="Y193" s="63">
        <v>8</v>
      </c>
      <c r="Z193" s="66">
        <v>6</v>
      </c>
      <c r="AA193" s="66">
        <v>5</v>
      </c>
      <c r="AB193" s="66">
        <v>4</v>
      </c>
      <c r="AC193" s="26">
        <f t="shared" si="15"/>
        <v>15</v>
      </c>
      <c r="AD193" s="25">
        <v>5</v>
      </c>
      <c r="AE193" s="28">
        <f t="shared" si="16"/>
        <v>51</v>
      </c>
    </row>
    <row r="194" spans="2:31" ht="15.6" x14ac:dyDescent="0.3">
      <c r="B194" s="8">
        <v>180</v>
      </c>
      <c r="C194" s="48" t="s">
        <v>218</v>
      </c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56">
        <v>5</v>
      </c>
      <c r="T194" s="57">
        <v>5</v>
      </c>
      <c r="U194" s="57">
        <v>4</v>
      </c>
      <c r="V194" s="57">
        <v>3</v>
      </c>
      <c r="W194" s="60">
        <v>4</v>
      </c>
      <c r="X194" s="26">
        <f t="shared" si="14"/>
        <v>21</v>
      </c>
      <c r="Y194" s="63">
        <v>12</v>
      </c>
      <c r="Z194" s="66">
        <v>8</v>
      </c>
      <c r="AA194" s="66">
        <v>0</v>
      </c>
      <c r="AB194" s="66">
        <v>0</v>
      </c>
      <c r="AC194" s="26">
        <f t="shared" si="15"/>
        <v>8</v>
      </c>
      <c r="AD194" s="25">
        <v>2</v>
      </c>
      <c r="AE194" s="28">
        <f t="shared" si="16"/>
        <v>43</v>
      </c>
    </row>
    <row r="195" spans="2:31" ht="15.6" x14ac:dyDescent="0.3">
      <c r="B195" s="8">
        <v>181</v>
      </c>
      <c r="C195" s="48" t="s">
        <v>219</v>
      </c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56">
        <v>5</v>
      </c>
      <c r="T195" s="57">
        <v>0</v>
      </c>
      <c r="U195" s="57">
        <v>0</v>
      </c>
      <c r="V195" s="57">
        <v>0</v>
      </c>
      <c r="W195" s="60">
        <v>0</v>
      </c>
      <c r="X195" s="26">
        <f t="shared" si="14"/>
        <v>5</v>
      </c>
      <c r="Y195" s="63">
        <v>18</v>
      </c>
      <c r="Z195" s="66">
        <v>6</v>
      </c>
      <c r="AA195" s="66">
        <v>6</v>
      </c>
      <c r="AB195" s="66">
        <v>0</v>
      </c>
      <c r="AC195" s="26">
        <f t="shared" si="15"/>
        <v>12</v>
      </c>
      <c r="AD195" s="25">
        <v>5</v>
      </c>
      <c r="AE195" s="68">
        <f t="shared" si="16"/>
        <v>40</v>
      </c>
    </row>
    <row r="196" spans="2:31" ht="15.6" x14ac:dyDescent="0.3">
      <c r="Z196" s="52"/>
      <c r="AA196" s="52"/>
      <c r="AB196" s="52"/>
      <c r="AD196" s="52"/>
      <c r="AE196" s="67"/>
    </row>
    <row r="197" spans="2:31" ht="15.6" x14ac:dyDescent="0.3">
      <c r="Z197" s="52"/>
      <c r="AA197" s="52"/>
      <c r="AB197" s="52"/>
      <c r="AD197" s="52"/>
      <c r="AE197" s="67"/>
    </row>
    <row r="198" spans="2:31" ht="15.6" x14ac:dyDescent="0.3">
      <c r="Z198" s="52"/>
      <c r="AA198" s="52"/>
      <c r="AB198" s="52"/>
      <c r="AD198" s="52"/>
      <c r="AE198" s="67"/>
    </row>
    <row r="199" spans="2:31" ht="15.6" x14ac:dyDescent="0.3">
      <c r="Z199" s="52"/>
      <c r="AA199" s="52"/>
      <c r="AB199" s="52"/>
      <c r="AD199" s="52"/>
      <c r="AE199" s="67"/>
    </row>
    <row r="200" spans="2:31" ht="15.6" x14ac:dyDescent="0.3">
      <c r="Z200" s="52"/>
      <c r="AA200" s="52"/>
      <c r="AB200" s="52"/>
      <c r="AD200" s="52"/>
      <c r="AE200" s="67"/>
    </row>
    <row r="201" spans="2:31" ht="15.6" x14ac:dyDescent="0.3">
      <c r="Z201" s="52"/>
      <c r="AA201" s="52"/>
      <c r="AB201" s="52"/>
      <c r="AD201" s="52"/>
      <c r="AE201" s="67"/>
    </row>
    <row r="202" spans="2:31" ht="15.6" x14ac:dyDescent="0.3">
      <c r="Z202" s="52"/>
      <c r="AA202" s="52"/>
      <c r="AB202" s="52"/>
      <c r="AD202" s="52"/>
      <c r="AE202" s="67"/>
    </row>
    <row r="203" spans="2:31" ht="15.6" x14ac:dyDescent="0.3">
      <c r="Z203" s="52"/>
      <c r="AA203" s="52"/>
      <c r="AB203" s="52"/>
      <c r="AD203" s="52"/>
      <c r="AE203" s="67"/>
    </row>
    <row r="204" spans="2:31" ht="15.6" x14ac:dyDescent="0.3">
      <c r="Z204" s="52"/>
      <c r="AA204" s="52"/>
      <c r="AB204" s="52"/>
      <c r="AD204" s="52"/>
      <c r="AE204" s="67"/>
    </row>
    <row r="205" spans="2:31" ht="15.6" x14ac:dyDescent="0.3">
      <c r="AE205" s="67"/>
    </row>
    <row r="206" spans="2:31" ht="15.6" x14ac:dyDescent="0.3">
      <c r="AE206" s="67"/>
    </row>
    <row r="207" spans="2:31" ht="15.6" x14ac:dyDescent="0.3">
      <c r="AE207" s="67"/>
    </row>
    <row r="208" spans="2:31" ht="15.6" x14ac:dyDescent="0.3">
      <c r="AE208" s="67"/>
    </row>
    <row r="209" spans="31:31" ht="15.6" x14ac:dyDescent="0.3">
      <c r="AE209" s="67"/>
    </row>
  </sheetData>
  <mergeCells count="32">
    <mergeCell ref="AH27:AL27"/>
    <mergeCell ref="Q11:Q13"/>
    <mergeCell ref="S11:X11"/>
    <mergeCell ref="Y11:Y13"/>
    <mergeCell ref="Z11:AC12"/>
    <mergeCell ref="AD11:AD13"/>
    <mergeCell ref="AE11:AE13"/>
    <mergeCell ref="S12:T12"/>
    <mergeCell ref="U12:V12"/>
    <mergeCell ref="X12:X13"/>
    <mergeCell ref="AG18:AL18"/>
    <mergeCell ref="AG19:AH19"/>
    <mergeCell ref="AG20:AG21"/>
    <mergeCell ref="AG22:AG23"/>
    <mergeCell ref="AG24:AG25"/>
    <mergeCell ref="B11:B14"/>
    <mergeCell ref="C11:C14"/>
    <mergeCell ref="D11:J11"/>
    <mergeCell ref="K11:K13"/>
    <mergeCell ref="L11:O12"/>
    <mergeCell ref="P11:P13"/>
    <mergeCell ref="D12:E12"/>
    <mergeCell ref="F12:G12"/>
    <mergeCell ref="H12:I12"/>
    <mergeCell ref="J12:J13"/>
    <mergeCell ref="B7:AE7"/>
    <mergeCell ref="B8:Y8"/>
    <mergeCell ref="Z8:AE8"/>
    <mergeCell ref="B9:S9"/>
    <mergeCell ref="T9:V9"/>
    <mergeCell ref="W9:Y9"/>
    <mergeCell ref="Z9:AE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EEM</vt:lpstr>
      <vt:lpstr>UML</vt:lpstr>
      <vt:lpstr>FSD</vt:lpstr>
      <vt:lpstr>DS</vt:lpstr>
      <vt:lpstr>AI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PAVAN KUMAR KARAVADI</cp:lastModifiedBy>
  <cp:revision/>
  <dcterms:created xsi:type="dcterms:W3CDTF">2021-11-18T03:02:53Z</dcterms:created>
  <dcterms:modified xsi:type="dcterms:W3CDTF">2025-10-27T06:02:18Z</dcterms:modified>
  <cp:category/>
  <cp:contentStatus/>
</cp:coreProperties>
</file>